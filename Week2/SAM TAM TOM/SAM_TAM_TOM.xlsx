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AM TAM T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<sst xmlns="http://schemas.openxmlformats.org/spreadsheetml/2006/main" count="54" uniqueCount="36">
  <si>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SAM TAM TOM</t>
  </si>
  <si>
    <t>Base Data (Official)</t>
  </si>
  <si>
    <t>Metric</t>
  </si>
  <si>
    <t>Value</t>
  </si>
  <si>
    <t>Type</t>
  </si>
  <si>
    <t>Source</t>
  </si>
  <si>
    <t>Total Households in Nepal</t>
  </si>
  <si>
    <t>Official</t>
  </si>
  <si>
    <t>Census 2021</t>
  </si>
  <si>
    <t>Average Household Size</t>
  </si>
  <si>
    <t>Average Annual Household Expenditure</t>
  </si>
  <si>
    <t>NLSS IV (2022/23)</t>
  </si>
  <si>
    <t>Market Assumption</t>
  </si>
  <si>
    <t>Justification</t>
  </si>
  <si>
    <t>Home-Based Services Share of Expenditure</t>
  </si>
  <si>
    <t>Assumption</t>
  </si>
  <si>
    <t>Derived from household maintenance, repair, cleaning, and domestic services; no official Nepal category exists</t>
  </si>
  <si>
    <t>Average Annual Home-Service Spending per Household</t>
  </si>
  <si>
    <t>Calculated = 282,896 * 3%</t>
  </si>
  <si>
    <t>Derived from household expenditure * assumed service share</t>
  </si>
  <si>
    <t>TAM (Total Addressable Market)</t>
  </si>
  <si>
    <t>TAM (Households)</t>
  </si>
  <si>
    <t>TAM (Value)</t>
  </si>
  <si>
    <t>Calculated = Total Households * Average Spending per HH</t>
  </si>
  <si>
    <t>SAM (Serviceable Available Market - Internet Based)</t>
  </si>
  <si>
    <t>Internet Access Rate</t>
  </si>
  <si>
    <t>SAM (Households)</t>
  </si>
  <si>
    <t>Calculated = Total Households * Internet Access Rate</t>
  </si>
  <si>
    <t>SAM (Value)</t>
  </si>
  <si>
    <t>Calculated = SAM Households * Average Spending per HH</t>
  </si>
  <si>
    <t>TOM (Target Obtainable Market)</t>
  </si>
  <si>
    <t>Market Share Assumption</t>
  </si>
  <si>
    <t>TOM (Households)</t>
  </si>
  <si>
    <t>Calculated = SAM Households * Market Share Assumption</t>
  </si>
  <si>
    <t>TOM (Value)</t>
  </si>
  <si>
    <t>Calculated = TOM Households * Average Spending per HH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</si>
</sst>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&quot; persons&quot;"/>
    <numFmt numFmtId="177" formatCode="&quot;NPR &quot;#,##0"/>
    <numFmt numFmtId="178" formatCode="&quot;NPR &quot;#,##0.00"/>
    <numFmt numFmtId="179" formatCode="0.0%"/>
  </numFmts>
  <fonts count="25">
    <font>
      <sz val="11"/>
      <color theme="1"/>
      <name val="Calibri"/>
      <charset val="134"/>
      <scheme val="minor"/>
    </font>
    <font>
      <b/>
      <sz val="16"/>
      <color rgb="FF1F1F1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theme="4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rgb="FF4472C4"/>
      </patternFill>
    </fill>
    <fill>
      <patternFill patternType="solid">
        <fgColor theme="1" tint="0.5"/>
        <bgColor rgb="FF30549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center" wrapText="1"/>
    </xf>
    <xf numFmtId="3" fontId="5" fillId="0" borderId="1" xfId="0" applyNumberFormat="1" applyFont="1" applyFill="1" applyBorder="1" applyAlignment="1">
      <alignment horizontal="justify" vertical="center" wrapText="1"/>
    </xf>
    <xf numFmtId="176" fontId="5" fillId="0" borderId="1" xfId="0" applyNumberFormat="1" applyFont="1" applyFill="1" applyBorder="1" applyAlignment="1">
      <alignment horizontal="justify" vertical="center" wrapText="1"/>
    </xf>
    <xf numFmtId="177" fontId="5" fillId="0" borderId="1" xfId="0" applyNumberFormat="1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9" fontId="5" fillId="4" borderId="1" xfId="0" applyNumberFormat="1" applyFont="1" applyFill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justify" vertical="center" wrapText="1"/>
    </xf>
    <xf numFmtId="178" fontId="4" fillId="5" borderId="1" xfId="0" applyNumberFormat="1" applyFont="1" applyFill="1" applyBorder="1" applyAlignment="1">
      <alignment horizontal="justify" vertical="center" wrapText="1"/>
    </xf>
    <xf numFmtId="0" fontId="2" fillId="6" borderId="0" xfId="0" applyFont="1" applyFill="1" applyAlignment="1">
      <alignment horizontal="justify" vertical="center"/>
    </xf>
    <xf numFmtId="0" fontId="3" fillId="7" borderId="2" xfId="0" applyFont="1" applyFill="1" applyBorder="1" applyAlignment="1">
      <alignment horizontal="justify" vertical="center"/>
    </xf>
    <xf numFmtId="177" fontId="4" fillId="0" borderId="1" xfId="0" applyNumberFormat="1" applyFont="1" applyFill="1" applyBorder="1" applyAlignment="1">
      <alignment horizontal="justify" vertical="center" wrapText="1"/>
    </xf>
    <xf numFmtId="179" fontId="5" fillId="0" borderId="1" xfId="0" applyNumberFormat="1" applyFont="1" applyFill="1" applyBorder="1" applyAlignment="1">
      <alignment horizontal="justify" vertical="center" wrapText="1"/>
    </xf>
    <xf numFmtId="3" fontId="4" fillId="0" borderId="1" xfId="0" applyNumberFormat="1" applyFont="1" applyFill="1" applyBorder="1" applyAlignment="1">
      <alignment horizontal="justify" vertical="center" wrapText="1"/>
    </xf>
    <xf numFmtId="9" fontId="5" fillId="0" borderId="1" xfId="0" applyNumberFormat="1" applyFont="1" applyFill="1" applyBorder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zoomScale="80" zoomScaleNormal="80" topLeftCell="A2" workbookViewId="0">
      <selection activeCell="D19" sqref="D19"/>
    </sheetView>
  </sheetViews>
  <sheetFormatPr defaultColWidth="9" defaultRowHeight="16.8" outlineLevelCol="3"/>
  <cols>
    <col min="1" max="1" width="41.6640625" customWidth="1"/>
    <col min="2" max="2" width="17.0625" customWidth="1"/>
    <col min="3" max="3" width="43.3125" customWidth="1"/>
    <col min="4" max="4" width="80.0546875" customWidth="1"/>
  </cols>
  <sheetData>
    <row r="1" ht="25" customHeight="1" spans="1:4">
      <c r="A1" s="1" t="s">
        <v>0</v>
      </c>
      <c r="B1" s="1"/>
      <c r="C1" s="1"/>
      <c r="D1" s="1"/>
    </row>
    <row r="2" ht="25" customHeight="1"/>
    <row r="3" ht="25" customHeight="1" spans="1:4">
      <c r="A3" s="2" t="s">
        <v>1</v>
      </c>
      <c r="B3" s="2"/>
      <c r="C3" s="2"/>
      <c r="D3" s="2"/>
    </row>
    <row r="4" ht="20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25" customHeight="1" spans="1:4">
      <c r="A5" s="4" t="s">
        <v>6</v>
      </c>
      <c r="B5" s="5">
        <v>6666937</v>
      </c>
      <c r="C5" s="4" t="s">
        <v>7</v>
      </c>
      <c r="D5" s="4" t="s">
        <v>8</v>
      </c>
    </row>
    <row r="6" ht="25" customHeight="1" spans="1:4">
      <c r="A6" s="4" t="s">
        <v>9</v>
      </c>
      <c r="B6" s="6">
        <v>4.37</v>
      </c>
      <c r="C6" s="4" t="s">
        <v>7</v>
      </c>
      <c r="D6" s="4" t="s">
        <v>8</v>
      </c>
    </row>
    <row r="7" ht="25" customHeight="1" spans="1:4">
      <c r="A7" s="4" t="s">
        <v>10</v>
      </c>
      <c r="B7" s="7">
        <v>282896</v>
      </c>
      <c r="C7" s="4" t="s">
        <v>7</v>
      </c>
      <c r="D7" s="4" t="s">
        <v>11</v>
      </c>
    </row>
    <row r="8" ht="25" customHeight="1"/>
    <row r="9" ht="25" customHeight="1" spans="1:4">
      <c r="A9" s="2" t="s">
        <v>12</v>
      </c>
      <c r="B9" s="2"/>
      <c r="C9" s="2"/>
      <c r="D9" s="2"/>
    </row>
    <row r="10" ht="20" customHeight="1" spans="1:4">
      <c r="A10" s="3" t="s">
        <v>2</v>
      </c>
      <c r="B10" s="3" t="s">
        <v>3</v>
      </c>
      <c r="C10" s="3" t="s">
        <v>4</v>
      </c>
      <c r="D10" s="3" t="s">
        <v>13</v>
      </c>
    </row>
    <row r="11" ht="25" customHeight="1" spans="1:4">
      <c r="A11" s="8" t="s">
        <v>14</v>
      </c>
      <c r="B11" s="9">
        <v>0.03</v>
      </c>
      <c r="C11" s="8" t="s">
        <v>15</v>
      </c>
      <c r="D11" s="8" t="s">
        <v>16</v>
      </c>
    </row>
    <row r="12" ht="25" customHeight="1" spans="1:4">
      <c r="A12" s="10" t="s">
        <v>17</v>
      </c>
      <c r="B12" s="11">
        <f>$B$7*$B$11</f>
        <v>8486.88</v>
      </c>
      <c r="C12" s="10" t="s">
        <v>18</v>
      </c>
      <c r="D12" s="10" t="s">
        <v>19</v>
      </c>
    </row>
    <row r="13" ht="25" customHeight="1"/>
    <row r="14" ht="25" customHeight="1" spans="1:4">
      <c r="A14" s="12" t="s">
        <v>20</v>
      </c>
      <c r="B14" s="12"/>
      <c r="C14" s="12"/>
    </row>
    <row r="15" ht="20" customHeight="1" spans="1:4">
      <c r="A15" s="13" t="s">
        <v>2</v>
      </c>
      <c r="B15" s="13" t="s">
        <v>3</v>
      </c>
      <c r="C15" s="13" t="s">
        <v>4</v>
      </c>
    </row>
    <row r="16" ht="25" customHeight="1" spans="1:4">
      <c r="A16" s="4" t="s">
        <v>21</v>
      </c>
      <c r="B16" s="5">
        <f>$B$5</f>
        <v>6666937</v>
      </c>
      <c r="C16" s="4" t="s">
        <v>7</v>
      </c>
    </row>
    <row r="17" ht="25" customHeight="1" spans="1:3">
      <c r="A17" s="4" t="s">
        <v>22</v>
      </c>
      <c r="B17" s="14">
        <f>$B$16*$B$12</f>
        <v>56581494286.56</v>
      </c>
      <c r="C17" s="4" t="s">
        <v>23</v>
      </c>
    </row>
    <row r="18" ht="25" customHeight="1"/>
    <row r="19" ht="25" customHeight="1" spans="1:3">
      <c r="A19" s="12" t="s">
        <v>24</v>
      </c>
      <c r="B19" s="12"/>
      <c r="C19" s="12"/>
    </row>
    <row r="20" ht="20" customHeight="1" spans="1:3">
      <c r="A20" s="13" t="s">
        <v>2</v>
      </c>
      <c r="B20" s="13" t="s">
        <v>3</v>
      </c>
      <c r="C20" s="13" t="s">
        <v>4</v>
      </c>
    </row>
    <row r="21" ht="25" customHeight="1" spans="1:3">
      <c r="A21" s="4" t="s">
        <v>25</v>
      </c>
      <c r="B21" s="15">
        <v>0.378</v>
      </c>
      <c r="C21" s="4" t="s">
        <v>7</v>
      </c>
    </row>
    <row r="22" ht="25" customHeight="1" spans="1:3">
      <c r="A22" s="4" t="s">
        <v>26</v>
      </c>
      <c r="B22" s="16">
        <f>$B$5*$B$21</f>
        <v>2520102.186</v>
      </c>
      <c r="C22" s="4" t="s">
        <v>27</v>
      </c>
    </row>
    <row r="23" ht="25" customHeight="1" spans="1:3">
      <c r="A23" s="4" t="s">
        <v>28</v>
      </c>
      <c r="B23" s="14">
        <f>$B$22*$B$12</f>
        <v>21387804840.3197</v>
      </c>
      <c r="C23" s="4" t="s">
        <v>29</v>
      </c>
    </row>
    <row r="24" ht="25" customHeight="1"/>
    <row r="25" ht="25" customHeight="1" spans="1:3">
      <c r="A25" s="12" t="s">
        <v>30</v>
      </c>
      <c r="B25" s="12"/>
      <c r="C25" s="12"/>
    </row>
    <row r="26" ht="20" customHeight="1" spans="1:3">
      <c r="A26" s="13" t="s">
        <v>2</v>
      </c>
      <c r="B26" s="13" t="s">
        <v>3</v>
      </c>
      <c r="C26" s="13" t="s">
        <v>4</v>
      </c>
    </row>
    <row r="27" ht="25" customHeight="1" spans="1:3">
      <c r="A27" s="4" t="s">
        <v>31</v>
      </c>
      <c r="B27" s="17">
        <v>0.03</v>
      </c>
      <c r="C27" s="4" t="s">
        <v>15</v>
      </c>
    </row>
    <row r="28" ht="25" customHeight="1" spans="1:3">
      <c r="A28" s="4" t="s">
        <v>32</v>
      </c>
      <c r="B28" s="16">
        <f>$B$22*$B$27</f>
        <v>75603.06558</v>
      </c>
      <c r="C28" s="4" t="s">
        <v>33</v>
      </c>
    </row>
    <row r="29" ht="25" customHeight="1" spans="1:3">
      <c r="A29" s="4" t="s">
        <v>34</v>
      </c>
      <c r="B29" s="14">
        <f>$B$28*$B$12</f>
        <v>641634145.20959</v>
      </c>
      <c r="C29" s="4" t="s">
        <v>35</v>
      </c>
    </row>
  </sheetData>
  <mergeCells count="6">
    <mergeCell ref="A1:D1"/>
    <mergeCell ref="A3:D3"/>
    <mergeCell ref="A9:D9"/>
    <mergeCell ref="A14:C14"/>
    <mergeCell ref="A19:C19"/>
    <mergeCell ref="A25:C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 TAM 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dcterms:created xsi:type="dcterms:W3CDTF">2026-07-04T22:51:00Z</dcterms:created>
  <dcterms:modified xsi:type="dcterms:W3CDTF">2026-07-10T20:03:48Z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0828AAE29DE4DA1C2F20476A32870660_41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