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660"/>
  </bookViews>
  <sheets>
    <sheet name="Workforce Analysi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<sst xmlns="http://schemas.openxmlformats.org/spreadsheetml/2006/main" count="70" uniqueCount="33">
  <si>
    <t>ID</t>
  </si>
  <si>
    <t>Service</t>
  </si>
  <si>
    <t>Provider Found</t>
  </si>
  <si>
    <t>Demand</t>
  </si>
  <si>
    <t>Competition Level</t>
  </si>
  <si>
    <t>Rank</t>
  </si>
  <si>
    <t>% Formal Companies</t>
  </si>
  <si>
    <t>% App or Platform</t>
  </si>
  <si>
    <t>% Directory or Informal</t>
  </si>
  <si>
    <t>Supply Status</t>
  </si>
  <si>
    <t>Lawn Care</t>
  </si>
  <si>
    <t>High</t>
  </si>
  <si>
    <t>Planting and Transplanting</t>
  </si>
  <si>
    <t>Medium</t>
  </si>
  <si>
    <t>Garden Maintenance</t>
  </si>
  <si>
    <t>Soil Improvement</t>
  </si>
  <si>
    <t>Low</t>
  </si>
  <si>
    <t>Irrigation Services</t>
  </si>
  <si>
    <t>Pest and Disease Control</t>
  </si>
  <si>
    <t>Hardscaping</t>
  </si>
  <si>
    <t>Seasonal Services</t>
  </si>
  <si>
    <t>Landscape Design</t>
  </si>
  <si>
    <t>Tree Sales</t>
  </si>
  <si>
    <t>Plant Propagation</t>
  </si>
  <si>
    <t>Soil and Fertilizers</t>
  </si>
  <si>
    <t>Consultation Services</t>
  </si>
  <si>
    <t>Tree Pruning and Removal</t>
  </si>
  <si>
    <t>Landscape Lighting</t>
  </si>
  <si>
    <t>Turfing Service</t>
  </si>
  <si>
    <t>Temporary Gardening</t>
  </si>
  <si>
    <t>Flower Maintenance</t>
  </si>
  <si>
    <t>Rooftop Gardening</t>
  </si>
  <si>
    <t>Artificial Gardening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</si>
</sst>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92D050"/>
        <bgColor rgb="FFADB9CA"/>
      </patternFill>
    </fill>
    <fill>
      <patternFill patternType="solid">
        <fgColor rgb="FFED6F7E"/>
        <bgColor rgb="FFFF99CC"/>
      </patternFill>
    </fill>
    <fill>
      <patternFill patternType="solid">
        <fgColor theme="4" tint="0.6"/>
        <bgColor rgb="FFADB9CA"/>
      </patternFill>
    </fill>
    <fill>
      <patternFill patternType="solid">
        <fgColor rgb="FFFFC000"/>
        <bgColor rgb="FFFF9900"/>
      </patternFill>
    </fill>
    <fill>
      <patternFill patternType="solid">
        <fgColor theme="3" tint="0.6"/>
        <bgColor rgb="FFB6C7EA"/>
      </patternFill>
    </fill>
    <fill>
      <patternFill patternType="solid">
        <fgColor theme="8" tint="0.6"/>
        <bgColor rgb="FFCC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2" fillId="0" borderId="0" xfId="0" applyFont="1" applyFill="1" applyAlignment="1">
      <alignment horizontal="justify" vertical="center" wrapText="1"/>
    </xf>
    <xf numFmtId="0" fontId="2" fillId="3" borderId="0" xfId="0" applyFont="1" applyFill="1" applyAlignment="1">
      <alignment horizontal="justify" vertical="center" wrapText="1"/>
    </xf>
    <xf numFmtId="0" fontId="2" fillId="4" borderId="0" xfId="0" applyFont="1" applyFill="1" applyAlignment="1">
      <alignment horizontal="justify" vertical="center" wrapText="1"/>
    </xf>
    <xf numFmtId="9" fontId="2" fillId="0" borderId="0" xfId="0" applyNumberFormat="1" applyFont="1" applyFill="1" applyAlignment="1">
      <alignment horizontal="justify" vertical="center" wrapText="1"/>
    </xf>
    <xf numFmtId="0" fontId="2" fillId="5" borderId="0" xfId="0" applyFont="1" applyFill="1" applyAlignment="1">
      <alignment horizontal="justify" vertical="center" wrapText="1"/>
    </xf>
    <xf numFmtId="0" fontId="2" fillId="6" borderId="0" xfId="0" applyFont="1" applyFill="1" applyAlignment="1">
      <alignment horizontal="justify" vertical="center" wrapText="1"/>
    </xf>
    <xf numFmtId="0" fontId="2" fillId="7" borderId="0" xfId="0" applyFont="1" applyFill="1" applyAlignment="1">
      <alignment horizontal="justify" vertical="center" wrapText="1"/>
    </xf>
    <xf numFmtId="0" fontId="2" fillId="8" borderId="0" xfId="0" applyFont="1" applyFill="1" applyAlignment="1">
      <alignment horizontal="justify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dikshya/Desktop/SRIYOG/Week8/Comparative%20Analysis/Comparative_Analysi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rative Analysis"/>
    </sheetNames>
    <sheetDataSet>
      <sheetData sheetId="0">
        <row r="2">
          <cell r="A2" t="str">
            <v>Lawn Care</v>
          </cell>
        </row>
        <row r="2">
          <cell r="C2" t="str">
            <v>Organized Company</v>
          </cell>
        </row>
        <row r="3">
          <cell r="A3" t="str">
            <v>Lawn Care</v>
          </cell>
        </row>
        <row r="3">
          <cell r="C3" t="str">
            <v>Individual or informal</v>
          </cell>
        </row>
        <row r="4">
          <cell r="A4" t="str">
            <v>Lawn Care</v>
          </cell>
        </row>
        <row r="4">
          <cell r="C4" t="str">
            <v>Organized Company</v>
          </cell>
        </row>
        <row r="5">
          <cell r="A5" t="str">
            <v>Lawn Care</v>
          </cell>
        </row>
        <row r="5">
          <cell r="C5" t="str">
            <v>Organized Company</v>
          </cell>
        </row>
        <row r="6">
          <cell r="A6" t="str">
            <v>Lawn Care</v>
          </cell>
        </row>
        <row r="6">
          <cell r="C6" t="str">
            <v>Organized Company</v>
          </cell>
        </row>
        <row r="7">
          <cell r="A7" t="str">
            <v>Lawn Care</v>
          </cell>
        </row>
        <row r="7">
          <cell r="C7" t="str">
            <v>App or marketplace platform</v>
          </cell>
        </row>
        <row r="8">
          <cell r="A8" t="str">
            <v>Lawn Care</v>
          </cell>
        </row>
        <row r="8">
          <cell r="C8" t="str">
            <v>Organized Company</v>
          </cell>
        </row>
        <row r="9">
          <cell r="A9" t="str">
            <v>Lawn Care</v>
          </cell>
        </row>
        <row r="9">
          <cell r="C9" t="str">
            <v>Organized Company</v>
          </cell>
        </row>
        <row r="10">
          <cell r="A10" t="str">
            <v>Lawn Care</v>
          </cell>
        </row>
        <row r="10">
          <cell r="C10" t="str">
            <v>Organized Company</v>
          </cell>
        </row>
        <row r="11">
          <cell r="A11" t="str">
            <v>Planting and Transplanting</v>
          </cell>
        </row>
        <row r="11">
          <cell r="C11" t="str">
            <v>Organized Company</v>
          </cell>
        </row>
        <row r="12">
          <cell r="A12" t="str">
            <v>Planting and Transplanting</v>
          </cell>
        </row>
        <row r="12">
          <cell r="C12" t="str">
            <v>App or marketplace platform</v>
          </cell>
        </row>
        <row r="13">
          <cell r="A13" t="str">
            <v>Planting and Transplanting</v>
          </cell>
        </row>
        <row r="13">
          <cell r="C13" t="str">
            <v>Organized Company</v>
          </cell>
        </row>
        <row r="14">
          <cell r="A14" t="str">
            <v>Planting and Transplanting</v>
          </cell>
        </row>
        <row r="14">
          <cell r="C14" t="str">
            <v>Organized Company</v>
          </cell>
        </row>
        <row r="15">
          <cell r="A15" t="str">
            <v>Planting and Transplanting</v>
          </cell>
        </row>
        <row r="15">
          <cell r="C15" t="str">
            <v>Organized Company</v>
          </cell>
        </row>
        <row r="16">
          <cell r="A16" t="str">
            <v>Planting and Transplanting</v>
          </cell>
        </row>
        <row r="16">
          <cell r="C16" t="str">
            <v>Organized Company</v>
          </cell>
        </row>
        <row r="17">
          <cell r="A17" t="str">
            <v>Garden Maintenance</v>
          </cell>
        </row>
        <row r="17">
          <cell r="C17" t="str">
            <v>Organized Company</v>
          </cell>
        </row>
        <row r="18">
          <cell r="A18" t="str">
            <v>Garden Maintenance</v>
          </cell>
        </row>
        <row r="18">
          <cell r="C18" t="str">
            <v>Organized Company</v>
          </cell>
        </row>
        <row r="19">
          <cell r="A19" t="str">
            <v>Garden Maintenance</v>
          </cell>
        </row>
        <row r="19">
          <cell r="C19" t="str">
            <v>Organized Company</v>
          </cell>
        </row>
        <row r="20">
          <cell r="A20" t="str">
            <v>Garden Maintenance</v>
          </cell>
        </row>
        <row r="20">
          <cell r="C20" t="str">
            <v>Organized Company</v>
          </cell>
        </row>
        <row r="21">
          <cell r="A21" t="str">
            <v>Garden Maintenance</v>
          </cell>
        </row>
        <row r="21">
          <cell r="C21" t="str">
            <v>App or marketplace platform</v>
          </cell>
        </row>
        <row r="22">
          <cell r="A22" t="str">
            <v>Garden Maintenance</v>
          </cell>
        </row>
        <row r="22">
          <cell r="C22" t="str">
            <v>Organized Company</v>
          </cell>
        </row>
        <row r="23">
          <cell r="A23" t="str">
            <v>Garden Maintenance</v>
          </cell>
        </row>
        <row r="23">
          <cell r="C23" t="str">
            <v>Organized Company</v>
          </cell>
        </row>
        <row r="24">
          <cell r="A24" t="str">
            <v>Garden Maintenance</v>
          </cell>
        </row>
        <row r="24">
          <cell r="C24" t="str">
            <v>Organized Company</v>
          </cell>
        </row>
        <row r="25">
          <cell r="A25" t="str">
            <v>Garden Maintenance</v>
          </cell>
        </row>
        <row r="25">
          <cell r="C25" t="str">
            <v>Organized Company</v>
          </cell>
        </row>
        <row r="26">
          <cell r="A26" t="str">
            <v>Garden Maintenance</v>
          </cell>
        </row>
        <row r="26">
          <cell r="C26" t="str">
            <v>Organized Company</v>
          </cell>
        </row>
        <row r="27">
          <cell r="A27" t="str">
            <v>Soil Improvement</v>
          </cell>
        </row>
        <row r="27">
          <cell r="C27" t="str">
            <v>Organized Company</v>
          </cell>
        </row>
        <row r="28">
          <cell r="A28" t="str">
            <v>Irrigation Services</v>
          </cell>
        </row>
        <row r="28">
          <cell r="C28" t="str">
            <v>Organized Company</v>
          </cell>
        </row>
        <row r="29">
          <cell r="A29" t="str">
            <v>Irrigation Services</v>
          </cell>
        </row>
        <row r="29">
          <cell r="C29" t="str">
            <v>Organized Company</v>
          </cell>
        </row>
        <row r="30">
          <cell r="A30" t="str">
            <v>Pest and Disease Control</v>
          </cell>
        </row>
        <row r="30">
          <cell r="C30" t="str">
            <v>Organized Company</v>
          </cell>
        </row>
        <row r="31">
          <cell r="A31" t="str">
            <v>Pest and Disease Control</v>
          </cell>
        </row>
        <row r="31">
          <cell r="C31" t="str">
            <v>Organized Company</v>
          </cell>
        </row>
        <row r="32">
          <cell r="A32" t="str">
            <v>Pest and Disease Control</v>
          </cell>
        </row>
        <row r="32">
          <cell r="C32" t="str">
            <v>Organized Company</v>
          </cell>
        </row>
        <row r="33">
          <cell r="A33" t="str">
            <v>Pest and Disease Control</v>
          </cell>
        </row>
        <row r="33">
          <cell r="C33" t="str">
            <v>Organized Company</v>
          </cell>
        </row>
        <row r="34">
          <cell r="A34" t="str">
            <v>Pest and Disease Control</v>
          </cell>
        </row>
        <row r="34">
          <cell r="C34" t="str">
            <v>Organized Company</v>
          </cell>
        </row>
        <row r="35">
          <cell r="A35" t="str">
            <v>Pest and Disease Control</v>
          </cell>
        </row>
        <row r="35">
          <cell r="C35" t="str">
            <v>Organized Company</v>
          </cell>
        </row>
        <row r="36">
          <cell r="A36" t="str">
            <v>Pest and Disease Control</v>
          </cell>
        </row>
        <row r="36">
          <cell r="C36" t="str">
            <v>Organized Company</v>
          </cell>
        </row>
        <row r="37">
          <cell r="A37" t="str">
            <v>Pest and Disease Control</v>
          </cell>
        </row>
        <row r="37">
          <cell r="C37" t="str">
            <v>Organized Company</v>
          </cell>
        </row>
        <row r="38">
          <cell r="A38" t="str">
            <v>Pest and Disease Control</v>
          </cell>
        </row>
        <row r="38">
          <cell r="C38" t="str">
            <v>App or marketplace platform</v>
          </cell>
        </row>
        <row r="39">
          <cell r="A39" t="str">
            <v>Pest and Disease Control</v>
          </cell>
        </row>
        <row r="39">
          <cell r="C39" t="str">
            <v>Organized Company</v>
          </cell>
        </row>
        <row r="40">
          <cell r="A40" t="str">
            <v>Pest and Disease Control</v>
          </cell>
        </row>
        <row r="40">
          <cell r="C40" t="str">
            <v>Organized Company</v>
          </cell>
        </row>
        <row r="41">
          <cell r="A41" t="str">
            <v>Pest and Disease Control</v>
          </cell>
        </row>
        <row r="41">
          <cell r="C41" t="str">
            <v>Organized Company</v>
          </cell>
        </row>
        <row r="42">
          <cell r="A42" t="str">
            <v>Pest and Disease Control</v>
          </cell>
        </row>
        <row r="42">
          <cell r="C42" t="str">
            <v>Organized Company</v>
          </cell>
        </row>
        <row r="43">
          <cell r="A43" t="str">
            <v>Pest and Disease Control</v>
          </cell>
        </row>
        <row r="43">
          <cell r="C43" t="str">
            <v>Organized Company</v>
          </cell>
        </row>
        <row r="44">
          <cell r="A44" t="str">
            <v>Pest and Disease Control</v>
          </cell>
        </row>
        <row r="44">
          <cell r="C44" t="str">
            <v>Organized Company</v>
          </cell>
        </row>
        <row r="45">
          <cell r="A45" t="str">
            <v>Pest and Disease Control</v>
          </cell>
        </row>
        <row r="45">
          <cell r="C45" t="str">
            <v>Organized Company</v>
          </cell>
        </row>
        <row r="46">
          <cell r="A46" t="str">
            <v>Pest and Disease Control</v>
          </cell>
        </row>
        <row r="46">
          <cell r="C46" t="str">
            <v>Organized Company</v>
          </cell>
        </row>
        <row r="47">
          <cell r="A47" t="str">
            <v>Pest and Disease Control</v>
          </cell>
        </row>
        <row r="47">
          <cell r="C47" t="str">
            <v>Organized Company</v>
          </cell>
        </row>
        <row r="48">
          <cell r="A48" t="str">
            <v>Hardscaping</v>
          </cell>
        </row>
        <row r="48">
          <cell r="C48" t="str">
            <v>Organized Company</v>
          </cell>
        </row>
        <row r="49">
          <cell r="A49" t="str">
            <v>Hardscaping</v>
          </cell>
        </row>
        <row r="49">
          <cell r="C49" t="str">
            <v>Organized Company</v>
          </cell>
        </row>
        <row r="50">
          <cell r="A50" t="str">
            <v>Hardscaping</v>
          </cell>
        </row>
        <row r="50">
          <cell r="C50" t="str">
            <v>Organized Company</v>
          </cell>
        </row>
        <row r="51">
          <cell r="A51" t="str">
            <v>Hardscaping</v>
          </cell>
        </row>
        <row r="51">
          <cell r="C51" t="str">
            <v>Organized Company</v>
          </cell>
        </row>
        <row r="52">
          <cell r="A52" t="str">
            <v>Seasonal Services</v>
          </cell>
        </row>
        <row r="52">
          <cell r="C52" t="str">
            <v>Organized Company</v>
          </cell>
        </row>
        <row r="53">
          <cell r="A53" t="str">
            <v>Seasonal Services</v>
          </cell>
        </row>
        <row r="53">
          <cell r="C53" t="str">
            <v>Individual or informal</v>
          </cell>
        </row>
        <row r="54">
          <cell r="A54" t="str">
            <v>Seasonal Services</v>
          </cell>
        </row>
        <row r="54">
          <cell r="C54" t="str">
            <v>Organized Company</v>
          </cell>
        </row>
        <row r="55">
          <cell r="A55" t="str">
            <v>Landscape Design</v>
          </cell>
        </row>
        <row r="55">
          <cell r="C55" t="str">
            <v>Organized Company</v>
          </cell>
        </row>
        <row r="56">
          <cell r="A56" t="str">
            <v>Landscape Design</v>
          </cell>
        </row>
        <row r="56">
          <cell r="C56" t="str">
            <v>Individual or informal</v>
          </cell>
        </row>
        <row r="57">
          <cell r="A57" t="str">
            <v>Landscape Design</v>
          </cell>
        </row>
        <row r="57">
          <cell r="C57" t="str">
            <v>Organized Company</v>
          </cell>
        </row>
        <row r="58">
          <cell r="A58" t="str">
            <v>Landscape Design</v>
          </cell>
        </row>
        <row r="58">
          <cell r="C58" t="str">
            <v>Organized Company</v>
          </cell>
        </row>
        <row r="59">
          <cell r="A59" t="str">
            <v>Landscape Design</v>
          </cell>
        </row>
        <row r="59">
          <cell r="C59" t="str">
            <v>Organized Company</v>
          </cell>
        </row>
        <row r="60">
          <cell r="A60" t="str">
            <v>Landscape Design</v>
          </cell>
        </row>
        <row r="60">
          <cell r="C60" t="str">
            <v>Organized Company</v>
          </cell>
        </row>
        <row r="61">
          <cell r="A61" t="str">
            <v>Landscape Design</v>
          </cell>
        </row>
        <row r="61">
          <cell r="C61" t="str">
            <v>Organized Company</v>
          </cell>
        </row>
        <row r="62">
          <cell r="A62" t="str">
            <v>Landscape Design</v>
          </cell>
        </row>
        <row r="62">
          <cell r="C62" t="str">
            <v>Organized Company</v>
          </cell>
        </row>
        <row r="63">
          <cell r="A63" t="str">
            <v>Landscape Design</v>
          </cell>
        </row>
        <row r="63">
          <cell r="C63" t="str">
            <v>Organized Company</v>
          </cell>
        </row>
        <row r="64">
          <cell r="A64" t="str">
            <v>Landscape Design</v>
          </cell>
        </row>
        <row r="64">
          <cell r="C64" t="str">
            <v>Organized Company</v>
          </cell>
        </row>
        <row r="65">
          <cell r="A65" t="str">
            <v>Tree Sales</v>
          </cell>
        </row>
        <row r="65">
          <cell r="C65" t="str">
            <v>Organized Company</v>
          </cell>
        </row>
        <row r="66">
          <cell r="A66" t="str">
            <v>Tree Sales</v>
          </cell>
        </row>
        <row r="66">
          <cell r="C66" t="str">
            <v>Organized Company</v>
          </cell>
        </row>
        <row r="67">
          <cell r="A67" t="str">
            <v>Plant Propagation</v>
          </cell>
        </row>
        <row r="67">
          <cell r="C67" t="str">
            <v>Organized Company</v>
          </cell>
        </row>
        <row r="68">
          <cell r="A68" t="str">
            <v>Soil and Fertilizers</v>
          </cell>
        </row>
        <row r="68">
          <cell r="C68" t="str">
            <v>Organized Company</v>
          </cell>
        </row>
        <row r="69">
          <cell r="A69" t="str">
            <v>Soil and Fertilizers</v>
          </cell>
        </row>
        <row r="69">
          <cell r="C69" t="str">
            <v>Organized Company</v>
          </cell>
        </row>
        <row r="70">
          <cell r="A70" t="str">
            <v>Soil and Fertilizers</v>
          </cell>
        </row>
        <row r="70">
          <cell r="C70" t="str">
            <v>Organized Company</v>
          </cell>
        </row>
        <row r="71">
          <cell r="A71" t="str">
            <v>Soil and Fertilizers</v>
          </cell>
        </row>
        <row r="71">
          <cell r="C71" t="str">
            <v>Organized Company</v>
          </cell>
        </row>
        <row r="72">
          <cell r="A72" t="str">
            <v>Soil and Fertilizers</v>
          </cell>
        </row>
        <row r="72">
          <cell r="C72" t="str">
            <v>Organized Company</v>
          </cell>
        </row>
        <row r="73">
          <cell r="A73" t="str">
            <v>Consultation Services</v>
          </cell>
        </row>
        <row r="73">
          <cell r="C73" t="str">
            <v>Organized Company</v>
          </cell>
        </row>
        <row r="74">
          <cell r="A74" t="str">
            <v>Consultation Services</v>
          </cell>
        </row>
        <row r="74">
          <cell r="C74" t="str">
            <v>Individual or informal</v>
          </cell>
        </row>
        <row r="75">
          <cell r="A75" t="str">
            <v>Consultation Services</v>
          </cell>
        </row>
        <row r="75">
          <cell r="C75" t="str">
            <v>Organized Company</v>
          </cell>
        </row>
        <row r="76">
          <cell r="A76" t="str">
            <v>Tree Pruning and Removal</v>
          </cell>
        </row>
        <row r="76">
          <cell r="C76" t="str">
            <v>Organized Company</v>
          </cell>
        </row>
        <row r="77">
          <cell r="A77" t="str">
            <v>Tree Pruning and Removal</v>
          </cell>
        </row>
        <row r="77">
          <cell r="C77" t="str">
            <v>Organized Company</v>
          </cell>
        </row>
        <row r="78">
          <cell r="A78" t="str">
            <v>Tree Pruning and Removal</v>
          </cell>
        </row>
        <row r="78">
          <cell r="C78" t="str">
            <v>Organized Company</v>
          </cell>
        </row>
        <row r="79">
          <cell r="A79" t="str">
            <v>Tree Pruning and Removal</v>
          </cell>
        </row>
        <row r="79">
          <cell r="C79" t="str">
            <v>Organized Company</v>
          </cell>
        </row>
        <row r="80">
          <cell r="A80" t="str">
            <v>Tree Pruning and Removal</v>
          </cell>
        </row>
        <row r="80">
          <cell r="C80" t="str">
            <v>App or marketplace platform</v>
          </cell>
        </row>
        <row r="81">
          <cell r="A81" t="str">
            <v>Tree Pruning and Removal</v>
          </cell>
        </row>
        <row r="81">
          <cell r="C81" t="str">
            <v>Organized Company</v>
          </cell>
        </row>
        <row r="82">
          <cell r="A82" t="str">
            <v>Landscape Lighting</v>
          </cell>
        </row>
        <row r="82">
          <cell r="C82" t="str">
            <v>Organized Company</v>
          </cell>
        </row>
        <row r="83">
          <cell r="A83" t="str">
            <v>Landscape Lighting</v>
          </cell>
        </row>
        <row r="83">
          <cell r="C83" t="str">
            <v>Organized Company</v>
          </cell>
        </row>
        <row r="84">
          <cell r="A84" t="str">
            <v>Turfing Service</v>
          </cell>
        </row>
        <row r="84">
          <cell r="C84" t="str">
            <v>Organized Company</v>
          </cell>
        </row>
        <row r="85">
          <cell r="A85" t="str">
            <v>Turfing Service</v>
          </cell>
        </row>
        <row r="85">
          <cell r="C85" t="str">
            <v>Organized Company</v>
          </cell>
        </row>
        <row r="86">
          <cell r="A86" t="str">
            <v>Temporary Gardening</v>
          </cell>
        </row>
        <row r="86">
          <cell r="C86" t="str">
            <v>Organized Company</v>
          </cell>
        </row>
        <row r="87">
          <cell r="A87" t="str">
            <v>Temporary Gardening</v>
          </cell>
        </row>
        <row r="87">
          <cell r="C87" t="str">
            <v>Organized Company</v>
          </cell>
        </row>
        <row r="88">
          <cell r="A88" t="str">
            <v>Flower Maintenance</v>
          </cell>
        </row>
        <row r="88">
          <cell r="C88" t="str">
            <v>Individual or informal</v>
          </cell>
        </row>
        <row r="89">
          <cell r="A89" t="str">
            <v>Flower Maintenance</v>
          </cell>
        </row>
        <row r="89">
          <cell r="C89" t="str">
            <v>Organized Company</v>
          </cell>
        </row>
        <row r="90">
          <cell r="A90" t="str">
            <v>Flower Maintenance</v>
          </cell>
        </row>
        <row r="90">
          <cell r="C90" t="str">
            <v>Organized Company</v>
          </cell>
        </row>
        <row r="91">
          <cell r="A91" t="str">
            <v>Flower Maintenance</v>
          </cell>
        </row>
        <row r="91">
          <cell r="C91" t="str">
            <v>Organized Company</v>
          </cell>
        </row>
        <row r="92">
          <cell r="A92" t="str">
            <v>Rooftop Gardening</v>
          </cell>
        </row>
        <row r="92">
          <cell r="C92" t="str">
            <v>Organized Company</v>
          </cell>
        </row>
        <row r="93">
          <cell r="A93" t="str">
            <v>Artificial Gardening</v>
          </cell>
        </row>
        <row r="93">
          <cell r="C93" t="str">
            <v>Organized Company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D25" sqref="D25"/>
    </sheetView>
  </sheetViews>
  <sheetFormatPr defaultColWidth="9" defaultRowHeight="16.8"/>
  <cols>
    <col min="2" max="2" width="22.7890625" customWidth="1"/>
    <col min="5" max="5" width="11.328125" customWidth="1"/>
    <col min="8" max="8" width="16.015625" customWidth="1"/>
    <col min="9" max="9" width="21.09375" customWidth="1"/>
    <col min="10" max="10" width="13.0234375" customWidth="1"/>
  </cols>
  <sheetData>
    <row r="1" ht="17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" customHeight="1" spans="1:10">
      <c r="A2" s="2">
        <v>1</v>
      </c>
      <c r="B2" s="2" t="s">
        <v>10</v>
      </c>
      <c r="C2" s="2">
        <f>COUNTIF('[1]Comparative Analysis'!$A$2:$A$94,B2)</f>
        <v>9</v>
      </c>
      <c r="D2" s="3" t="s">
        <v>11</v>
      </c>
      <c r="E2" s="4" t="s">
        <v>11</v>
      </c>
      <c r="F2" s="2">
        <f t="shared" ref="F2:F21" si="0">RANK(C2,$C$2:$C$21,0)</f>
        <v>4</v>
      </c>
      <c r="G2" s="5">
        <f>COUNTIFS('[1]Comparative Analysis'!$A$2:$A$94,B2,'[1]Comparative Analysis'!$C$2:$C$94,"Organized Company")/C2</f>
        <v>0.777777777777778</v>
      </c>
      <c r="H2" s="5">
        <f>COUNTIFS('[1]Comparative Analysis'!$A$2:$A$94,B2,'[1]Comparative Analysis'!$C$2:$C$94,"App or marketplace platform")/C2</f>
        <v>0.111111111111111</v>
      </c>
      <c r="I2" s="5">
        <f t="shared" ref="I2:I21" si="1">1-G2-H2</f>
        <v>0.111111111111111</v>
      </c>
      <c r="J2" s="6" t="str">
        <f t="shared" ref="J2:J21" si="2">IF(C2&gt;=AVERAGE($C$2:$C$21)*1.5,"Well-served",IF(C2&lt;AVERAGE($C$2:$C$21)*0.75,"Limited","Sufficient"))</f>
        <v>Well-served</v>
      </c>
    </row>
    <row r="3" ht="17" customHeight="1" spans="1:10">
      <c r="A3" s="2">
        <v>2</v>
      </c>
      <c r="B3" s="2" t="s">
        <v>12</v>
      </c>
      <c r="C3" s="2">
        <f>COUNTIF('[1]Comparative Analysis'!$A$2:$A$94,B3)</f>
        <v>6</v>
      </c>
      <c r="D3" s="7" t="s">
        <v>13</v>
      </c>
      <c r="E3" s="4" t="s">
        <v>11</v>
      </c>
      <c r="F3" s="2">
        <f t="shared" si="0"/>
        <v>5</v>
      </c>
      <c r="G3" s="5">
        <f>COUNTIFS('[1]Comparative Analysis'!$A$2:$A$94,B3,'[1]Comparative Analysis'!$C$2:$C$94,"Organized Company")/C3</f>
        <v>0.833333333333333</v>
      </c>
      <c r="H3" s="5">
        <f>COUNTIFS('[1]Comparative Analysis'!$A$2:$A$94,B3,'[1]Comparative Analysis'!$C$2:$C$94,"App or marketplace platform")/C3</f>
        <v>0.166666666666667</v>
      </c>
      <c r="I3" s="5">
        <f t="shared" si="1"/>
        <v>0</v>
      </c>
      <c r="J3" s="8" t="str">
        <f t="shared" si="2"/>
        <v>Sufficient</v>
      </c>
    </row>
    <row r="4" ht="17" customHeight="1" spans="1:10">
      <c r="A4" s="2">
        <v>3</v>
      </c>
      <c r="B4" s="2" t="s">
        <v>14</v>
      </c>
      <c r="C4" s="2">
        <f>COUNTIF('[1]Comparative Analysis'!$A$2:$A$94,B4)</f>
        <v>10</v>
      </c>
      <c r="D4" s="3" t="s">
        <v>11</v>
      </c>
      <c r="E4" s="4" t="s">
        <v>11</v>
      </c>
      <c r="F4" s="2">
        <f t="shared" si="0"/>
        <v>2</v>
      </c>
      <c r="G4" s="5">
        <f>COUNTIFS('[1]Comparative Analysis'!$A$2:$A$94,B4,'[1]Comparative Analysis'!$C$2:$C$94,"Organized Company")/C4</f>
        <v>0.9</v>
      </c>
      <c r="H4" s="5">
        <f>COUNTIFS('[1]Comparative Analysis'!$A$2:$A$94,B4,'[1]Comparative Analysis'!$C$2:$C$94,"App or marketplace platform")/C4</f>
        <v>0.1</v>
      </c>
      <c r="I4" s="5">
        <f t="shared" si="1"/>
        <v>0</v>
      </c>
      <c r="J4" s="6" t="str">
        <f t="shared" si="2"/>
        <v>Well-served</v>
      </c>
    </row>
    <row r="5" ht="17" customHeight="1" spans="1:10">
      <c r="A5" s="2">
        <v>4</v>
      </c>
      <c r="B5" s="2" t="s">
        <v>15</v>
      </c>
      <c r="C5" s="2">
        <f>COUNTIF('[1]Comparative Analysis'!$A$2:$A$94,B5)</f>
        <v>1</v>
      </c>
      <c r="D5" s="4" t="s">
        <v>16</v>
      </c>
      <c r="E5" s="3" t="s">
        <v>16</v>
      </c>
      <c r="F5" s="2">
        <f t="shared" si="0"/>
        <v>17</v>
      </c>
      <c r="G5" s="5">
        <f>COUNTIFS('[1]Comparative Analysis'!$A$2:$A$94,B5,'[1]Comparative Analysis'!$C$2:$C$94,"Organized Company")/C5</f>
        <v>1</v>
      </c>
      <c r="H5" s="5">
        <f>COUNTIFS('[1]Comparative Analysis'!$A$2:$A$94,B5,'[1]Comparative Analysis'!$C$2:$C$94,"App or marketplace platform")/C5</f>
        <v>0</v>
      </c>
      <c r="I5" s="5">
        <f t="shared" si="1"/>
        <v>0</v>
      </c>
      <c r="J5" s="9" t="str">
        <f t="shared" si="2"/>
        <v>Limited</v>
      </c>
    </row>
    <row r="6" ht="17" customHeight="1" spans="1:10">
      <c r="A6" s="2">
        <v>5</v>
      </c>
      <c r="B6" s="2" t="s">
        <v>17</v>
      </c>
      <c r="C6" s="2">
        <f>COUNTIF('[1]Comparative Analysis'!$A$2:$A$94,B6)</f>
        <v>2</v>
      </c>
      <c r="D6" s="7" t="s">
        <v>13</v>
      </c>
      <c r="E6" s="3" t="s">
        <v>16</v>
      </c>
      <c r="F6" s="2">
        <f t="shared" si="0"/>
        <v>12</v>
      </c>
      <c r="G6" s="5">
        <f>COUNTIFS('[1]Comparative Analysis'!$A$2:$A$94,B6,'[1]Comparative Analysis'!$C$2:$C$94,"Organized Company")/C6</f>
        <v>1</v>
      </c>
      <c r="H6" s="5">
        <f>COUNTIFS('[1]Comparative Analysis'!$A$2:$A$94,B6,'[1]Comparative Analysis'!$C$2:$C$94,"App or marketplace platform")/C6</f>
        <v>0</v>
      </c>
      <c r="I6" s="5">
        <f t="shared" si="1"/>
        <v>0</v>
      </c>
      <c r="J6" s="9" t="str">
        <f t="shared" si="2"/>
        <v>Limited</v>
      </c>
    </row>
    <row r="7" ht="17" customHeight="1" spans="1:10">
      <c r="A7" s="2">
        <v>6</v>
      </c>
      <c r="B7" s="2" t="s">
        <v>18</v>
      </c>
      <c r="C7" s="2">
        <f>COUNTIF('[1]Comparative Analysis'!$A$2:$A$94,B7)</f>
        <v>18</v>
      </c>
      <c r="D7" s="3" t="s">
        <v>11</v>
      </c>
      <c r="E7" s="4" t="s">
        <v>11</v>
      </c>
      <c r="F7" s="2">
        <f t="shared" si="0"/>
        <v>1</v>
      </c>
      <c r="G7" s="5">
        <f>COUNTIFS('[1]Comparative Analysis'!$A$2:$A$94,B7,'[1]Comparative Analysis'!$C$2:$C$94,"Organized Company")/C7</f>
        <v>0.944444444444444</v>
      </c>
      <c r="H7" s="5">
        <f>COUNTIFS('[1]Comparative Analysis'!$A$2:$A$94,B7,'[1]Comparative Analysis'!$C$2:$C$94,"App or marketplace platform")/C7</f>
        <v>0.0555555555555556</v>
      </c>
      <c r="I7" s="5">
        <f t="shared" si="1"/>
        <v>0</v>
      </c>
      <c r="J7" s="6" t="str">
        <f t="shared" si="2"/>
        <v>Well-served</v>
      </c>
    </row>
    <row r="8" ht="17" customHeight="1" spans="1:10">
      <c r="A8" s="2">
        <v>7</v>
      </c>
      <c r="B8" s="2" t="s">
        <v>19</v>
      </c>
      <c r="C8" s="2">
        <f>COUNTIF('[1]Comparative Analysis'!$A$2:$A$94,B8)</f>
        <v>4</v>
      </c>
      <c r="D8" s="7" t="s">
        <v>13</v>
      </c>
      <c r="E8" s="7" t="s">
        <v>13</v>
      </c>
      <c r="F8" s="2">
        <f t="shared" si="0"/>
        <v>8</v>
      </c>
      <c r="G8" s="5">
        <f>COUNTIFS('[1]Comparative Analysis'!$A$2:$A$94,B8,'[1]Comparative Analysis'!$C$2:$C$94,"Organized Company")/C8</f>
        <v>1</v>
      </c>
      <c r="H8" s="5">
        <f>COUNTIFS('[1]Comparative Analysis'!$A$2:$A$94,B8,'[1]Comparative Analysis'!$C$2:$C$94,"App or marketplace platform")/C8</f>
        <v>0</v>
      </c>
      <c r="I8" s="5">
        <f t="shared" si="1"/>
        <v>0</v>
      </c>
      <c r="J8" s="8" t="str">
        <f t="shared" si="2"/>
        <v>Sufficient</v>
      </c>
    </row>
    <row r="9" ht="17" customHeight="1" spans="1:10">
      <c r="A9" s="2">
        <v>8</v>
      </c>
      <c r="B9" s="2" t="s">
        <v>20</v>
      </c>
      <c r="C9" s="2">
        <f>COUNTIF('[1]Comparative Analysis'!$A$2:$A$94,B9)</f>
        <v>3</v>
      </c>
      <c r="D9" s="7" t="s">
        <v>13</v>
      </c>
      <c r="E9" s="3" t="s">
        <v>16</v>
      </c>
      <c r="F9" s="2">
        <f t="shared" si="0"/>
        <v>10</v>
      </c>
      <c r="G9" s="5">
        <f>COUNTIFS('[1]Comparative Analysis'!$A$2:$A$94,B9,'[1]Comparative Analysis'!$C$2:$C$94,"Organized Company")/C9</f>
        <v>0.666666666666667</v>
      </c>
      <c r="H9" s="5">
        <f>COUNTIFS('[1]Comparative Analysis'!$A$2:$A$94,B9,'[1]Comparative Analysis'!$C$2:$C$94,"App or marketplace platform")/C9</f>
        <v>0</v>
      </c>
      <c r="I9" s="5">
        <f t="shared" si="1"/>
        <v>0.333333333333333</v>
      </c>
      <c r="J9" s="9" t="str">
        <f t="shared" si="2"/>
        <v>Limited</v>
      </c>
    </row>
    <row r="10" ht="17" customHeight="1" spans="1:10">
      <c r="A10" s="2">
        <v>9</v>
      </c>
      <c r="B10" s="2" t="s">
        <v>21</v>
      </c>
      <c r="C10" s="2">
        <f>COUNTIF('[1]Comparative Analysis'!$A$2:$A$94,B10)</f>
        <v>10</v>
      </c>
      <c r="D10" s="7" t="s">
        <v>13</v>
      </c>
      <c r="E10" s="4" t="s">
        <v>11</v>
      </c>
      <c r="F10" s="2">
        <f t="shared" si="0"/>
        <v>2</v>
      </c>
      <c r="G10" s="5">
        <f>COUNTIFS('[1]Comparative Analysis'!$A$2:$A$94,B10,'[1]Comparative Analysis'!$C$2:$C$94,"Organized Company")/C10</f>
        <v>0.9</v>
      </c>
      <c r="H10" s="5">
        <f>COUNTIFS('[1]Comparative Analysis'!$A$2:$A$94,B10,'[1]Comparative Analysis'!$C$2:$C$94,"App or marketplace platform")/C10</f>
        <v>0</v>
      </c>
      <c r="I10" s="5">
        <f t="shared" si="1"/>
        <v>0.1</v>
      </c>
      <c r="J10" s="6" t="str">
        <f t="shared" si="2"/>
        <v>Well-served</v>
      </c>
    </row>
    <row r="11" ht="17" customHeight="1" spans="1:10">
      <c r="A11" s="2">
        <v>10</v>
      </c>
      <c r="B11" s="2" t="s">
        <v>22</v>
      </c>
      <c r="C11" s="2">
        <f>COUNTIF('[1]Comparative Analysis'!$A$2:$A$94,B11)</f>
        <v>2</v>
      </c>
      <c r="D11" s="4" t="s">
        <v>16</v>
      </c>
      <c r="E11" s="3" t="s">
        <v>16</v>
      </c>
      <c r="F11" s="2">
        <f t="shared" si="0"/>
        <v>12</v>
      </c>
      <c r="G11" s="5">
        <f>COUNTIFS('[1]Comparative Analysis'!$A$2:$A$94,B11,'[1]Comparative Analysis'!$C$2:$C$94,"Organized Company")/C11</f>
        <v>1</v>
      </c>
      <c r="H11" s="5">
        <f>COUNTIFS('[1]Comparative Analysis'!$A$2:$A$94,B11,'[1]Comparative Analysis'!$C$2:$C$94,"App or marketplace platform")/C11</f>
        <v>0</v>
      </c>
      <c r="I11" s="5">
        <f t="shared" si="1"/>
        <v>0</v>
      </c>
      <c r="J11" s="9" t="str">
        <f t="shared" si="2"/>
        <v>Limited</v>
      </c>
    </row>
    <row r="12" ht="17" customHeight="1" spans="1:10">
      <c r="A12" s="2">
        <v>11</v>
      </c>
      <c r="B12" s="2" t="s">
        <v>23</v>
      </c>
      <c r="C12" s="2">
        <f>COUNTIF('[1]Comparative Analysis'!$A$2:$A$94,B12)</f>
        <v>1</v>
      </c>
      <c r="D12" s="4" t="s">
        <v>16</v>
      </c>
      <c r="E12" s="3" t="s">
        <v>16</v>
      </c>
      <c r="F12" s="2">
        <f t="shared" si="0"/>
        <v>17</v>
      </c>
      <c r="G12" s="5">
        <f>COUNTIFS('[1]Comparative Analysis'!$A$2:$A$94,B12,'[1]Comparative Analysis'!$C$2:$C$94,"Organized Company")/C12</f>
        <v>1</v>
      </c>
      <c r="H12" s="5">
        <f>COUNTIFS('[1]Comparative Analysis'!$A$2:$A$94,B12,'[1]Comparative Analysis'!$C$2:$C$94,"App or marketplace platform")/C12</f>
        <v>0</v>
      </c>
      <c r="I12" s="5">
        <f t="shared" si="1"/>
        <v>0</v>
      </c>
      <c r="J12" s="9" t="str">
        <f t="shared" si="2"/>
        <v>Limited</v>
      </c>
    </row>
    <row r="13" ht="17" customHeight="1" spans="1:10">
      <c r="A13" s="2">
        <v>12</v>
      </c>
      <c r="B13" s="2" t="s">
        <v>24</v>
      </c>
      <c r="C13" s="2">
        <f>COUNTIF('[1]Comparative Analysis'!$A$2:$A$94,B13)</f>
        <v>5</v>
      </c>
      <c r="D13" s="7" t="s">
        <v>13</v>
      </c>
      <c r="E13" s="7" t="s">
        <v>13</v>
      </c>
      <c r="F13" s="2">
        <f t="shared" si="0"/>
        <v>7</v>
      </c>
      <c r="G13" s="5">
        <f>COUNTIFS('[1]Comparative Analysis'!$A$2:$A$94,B13,'[1]Comparative Analysis'!$C$2:$C$94,"Organized Company")/C13</f>
        <v>1</v>
      </c>
      <c r="H13" s="5">
        <f>COUNTIFS('[1]Comparative Analysis'!$A$2:$A$94,B13,'[1]Comparative Analysis'!$C$2:$C$94,"App or marketplace platform")/C13</f>
        <v>0</v>
      </c>
      <c r="I13" s="5">
        <f t="shared" si="1"/>
        <v>0</v>
      </c>
      <c r="J13" s="8" t="str">
        <f t="shared" si="2"/>
        <v>Sufficient</v>
      </c>
    </row>
    <row r="14" ht="17" customHeight="1" spans="1:10">
      <c r="A14" s="2">
        <v>13</v>
      </c>
      <c r="B14" s="2" t="s">
        <v>25</v>
      </c>
      <c r="C14" s="2">
        <f>COUNTIF('[1]Comparative Analysis'!$A$2:$A$94,B14)</f>
        <v>3</v>
      </c>
      <c r="D14" s="4" t="s">
        <v>16</v>
      </c>
      <c r="E14" s="3" t="s">
        <v>16</v>
      </c>
      <c r="F14" s="2">
        <f t="shared" si="0"/>
        <v>10</v>
      </c>
      <c r="G14" s="5">
        <f>COUNTIFS('[1]Comparative Analysis'!$A$2:$A$94,B14,'[1]Comparative Analysis'!$C$2:$C$94,"Organized Company")/C14</f>
        <v>0.666666666666667</v>
      </c>
      <c r="H14" s="5">
        <f>COUNTIFS('[1]Comparative Analysis'!$A$2:$A$94,B14,'[1]Comparative Analysis'!$C$2:$C$94,"App or marketplace platform")/C14</f>
        <v>0</v>
      </c>
      <c r="I14" s="5">
        <f t="shared" si="1"/>
        <v>0.333333333333333</v>
      </c>
      <c r="J14" s="9" t="str">
        <f t="shared" si="2"/>
        <v>Limited</v>
      </c>
    </row>
    <row r="15" ht="17" customHeight="1" spans="1:10">
      <c r="A15" s="2">
        <v>14</v>
      </c>
      <c r="B15" s="2" t="s">
        <v>26</v>
      </c>
      <c r="C15" s="2">
        <f>COUNTIF('[1]Comparative Analysis'!$A$2:$A$94,B15)</f>
        <v>6</v>
      </c>
      <c r="D15" s="7" t="s">
        <v>13</v>
      </c>
      <c r="E15" s="7" t="s">
        <v>13</v>
      </c>
      <c r="F15" s="2">
        <f t="shared" si="0"/>
        <v>5</v>
      </c>
      <c r="G15" s="5">
        <f>COUNTIFS('[1]Comparative Analysis'!$A$2:$A$94,B15,'[1]Comparative Analysis'!$C$2:$C$94,"Organized Company")/C15</f>
        <v>0.833333333333333</v>
      </c>
      <c r="H15" s="5">
        <f>COUNTIFS('[1]Comparative Analysis'!$A$2:$A$94,B15,'[1]Comparative Analysis'!$C$2:$C$94,"App or marketplace platform")/C15</f>
        <v>0.166666666666667</v>
      </c>
      <c r="I15" s="5">
        <f t="shared" si="1"/>
        <v>0</v>
      </c>
      <c r="J15" s="8" t="str">
        <f t="shared" si="2"/>
        <v>Sufficient</v>
      </c>
    </row>
    <row r="16" ht="17" customHeight="1" spans="1:10">
      <c r="A16" s="2">
        <v>15</v>
      </c>
      <c r="B16" s="2" t="s">
        <v>27</v>
      </c>
      <c r="C16" s="2">
        <f>COUNTIF('[1]Comparative Analysis'!$A$2:$A$94,B16)</f>
        <v>2</v>
      </c>
      <c r="D16" s="4" t="s">
        <v>16</v>
      </c>
      <c r="E16" s="3" t="s">
        <v>16</v>
      </c>
      <c r="F16" s="2">
        <f t="shared" si="0"/>
        <v>12</v>
      </c>
      <c r="G16" s="5">
        <f>COUNTIFS('[1]Comparative Analysis'!$A$2:$A$94,B16,'[1]Comparative Analysis'!$C$2:$C$94,"Organized Company")/C16</f>
        <v>1</v>
      </c>
      <c r="H16" s="5">
        <f>COUNTIFS('[1]Comparative Analysis'!$A$2:$A$94,B16,'[1]Comparative Analysis'!$C$2:$C$94,"App or marketplace platform")/C16</f>
        <v>0</v>
      </c>
      <c r="I16" s="5">
        <f t="shared" si="1"/>
        <v>0</v>
      </c>
      <c r="J16" s="9" t="str">
        <f t="shared" si="2"/>
        <v>Limited</v>
      </c>
    </row>
    <row r="17" ht="17" customHeight="1" spans="1:10">
      <c r="A17" s="2">
        <v>16</v>
      </c>
      <c r="B17" s="2" t="s">
        <v>28</v>
      </c>
      <c r="C17" s="2">
        <f>COUNTIF('[1]Comparative Analysis'!$A$2:$A$94,B17)</f>
        <v>2</v>
      </c>
      <c r="D17" s="4" t="s">
        <v>16</v>
      </c>
      <c r="E17" s="3" t="s">
        <v>16</v>
      </c>
      <c r="F17" s="2">
        <f t="shared" si="0"/>
        <v>12</v>
      </c>
      <c r="G17" s="5">
        <f>COUNTIFS('[1]Comparative Analysis'!$A$2:$A$94,B17,'[1]Comparative Analysis'!$C$2:$C$94,"Organized Company")/C17</f>
        <v>1</v>
      </c>
      <c r="H17" s="5">
        <f>COUNTIFS('[1]Comparative Analysis'!$A$2:$A$94,B17,'[1]Comparative Analysis'!$C$2:$C$94,"App or marketplace platform")/C17</f>
        <v>0</v>
      </c>
      <c r="I17" s="5">
        <f t="shared" si="1"/>
        <v>0</v>
      </c>
      <c r="J17" s="9" t="str">
        <f t="shared" si="2"/>
        <v>Limited</v>
      </c>
    </row>
    <row r="18" ht="17" customHeight="1" spans="1:10">
      <c r="A18" s="2">
        <v>17</v>
      </c>
      <c r="B18" s="2" t="s">
        <v>29</v>
      </c>
      <c r="C18" s="2">
        <f>COUNTIF('[1]Comparative Analysis'!$A$2:$A$94,B18)</f>
        <v>2</v>
      </c>
      <c r="D18" s="4" t="s">
        <v>16</v>
      </c>
      <c r="E18" s="3" t="s">
        <v>16</v>
      </c>
      <c r="F18" s="2">
        <f t="shared" si="0"/>
        <v>12</v>
      </c>
      <c r="G18" s="5">
        <f>COUNTIFS('[1]Comparative Analysis'!$A$2:$A$94,B18,'[1]Comparative Analysis'!$C$2:$C$94,"Organized Company")/C18</f>
        <v>1</v>
      </c>
      <c r="H18" s="5">
        <f>COUNTIFS('[1]Comparative Analysis'!$A$2:$A$94,B18,'[1]Comparative Analysis'!$C$2:$C$94,"App or marketplace platform")/C18</f>
        <v>0</v>
      </c>
      <c r="I18" s="5">
        <f t="shared" si="1"/>
        <v>0</v>
      </c>
      <c r="J18" s="9" t="str">
        <f t="shared" si="2"/>
        <v>Limited</v>
      </c>
    </row>
    <row r="19" ht="17" customHeight="1" spans="1:10">
      <c r="A19" s="2">
        <v>18</v>
      </c>
      <c r="B19" s="2" t="s">
        <v>30</v>
      </c>
      <c r="C19" s="2">
        <f>COUNTIF('[1]Comparative Analysis'!$A$2:$A$94,B19)</f>
        <v>4</v>
      </c>
      <c r="D19" s="7" t="s">
        <v>13</v>
      </c>
      <c r="E19" s="7" t="s">
        <v>13</v>
      </c>
      <c r="F19" s="2">
        <f t="shared" si="0"/>
        <v>8</v>
      </c>
      <c r="G19" s="5">
        <f>COUNTIFS('[1]Comparative Analysis'!$A$2:$A$94,B19,'[1]Comparative Analysis'!$C$2:$C$94,"Organized Company")/C19</f>
        <v>0.75</v>
      </c>
      <c r="H19" s="5">
        <f>COUNTIFS('[1]Comparative Analysis'!$A$2:$A$94,B19,'[1]Comparative Analysis'!$C$2:$C$94,"App or marketplace platform")/C19</f>
        <v>0</v>
      </c>
      <c r="I19" s="5">
        <f t="shared" si="1"/>
        <v>0.25</v>
      </c>
      <c r="J19" s="8" t="str">
        <f t="shared" si="2"/>
        <v>Sufficient</v>
      </c>
    </row>
    <row r="20" ht="17" customHeight="1" spans="1:10">
      <c r="A20" s="2">
        <v>19</v>
      </c>
      <c r="B20" s="2" t="s">
        <v>31</v>
      </c>
      <c r="C20" s="2">
        <f>COUNTIF('[1]Comparative Analysis'!$A$2:$A$94,B20)</f>
        <v>1</v>
      </c>
      <c r="D20" s="7" t="s">
        <v>13</v>
      </c>
      <c r="E20" s="3" t="s">
        <v>16</v>
      </c>
      <c r="F20" s="2">
        <f t="shared" si="0"/>
        <v>17</v>
      </c>
      <c r="G20" s="5">
        <f>COUNTIFS('[1]Comparative Analysis'!$A$2:$A$94,B20,'[1]Comparative Analysis'!$C$2:$C$94,"Organized Company")/C20</f>
        <v>1</v>
      </c>
      <c r="H20" s="5">
        <f>COUNTIFS('[1]Comparative Analysis'!$A$2:$A$94,B20,'[1]Comparative Analysis'!$C$2:$C$94,"App or marketplace platform")/C20</f>
        <v>0</v>
      </c>
      <c r="I20" s="5">
        <f t="shared" si="1"/>
        <v>0</v>
      </c>
      <c r="J20" s="9" t="str">
        <f t="shared" si="2"/>
        <v>Limited</v>
      </c>
    </row>
    <row r="21" ht="17" customHeight="1" spans="1:10">
      <c r="A21" s="2">
        <v>20</v>
      </c>
      <c r="B21" s="2" t="s">
        <v>32</v>
      </c>
      <c r="C21" s="2">
        <f>COUNTIF('[1]Comparative Analysis'!$A$2:$A$94,B21)</f>
        <v>1</v>
      </c>
      <c r="D21" s="4" t="s">
        <v>16</v>
      </c>
      <c r="E21" s="3" t="s">
        <v>16</v>
      </c>
      <c r="F21" s="2">
        <f t="shared" si="0"/>
        <v>17</v>
      </c>
      <c r="G21" s="5">
        <f>COUNTIFS('[1]Comparative Analysis'!$A$2:$A$94,B21,'[1]Comparative Analysis'!$C$2:$C$94,"Organized Company")/C21</f>
        <v>1</v>
      </c>
      <c r="H21" s="5">
        <f>COUNTIFS('[1]Comparative Analysis'!$A$2:$A$94,B21,'[1]Comparative Analysis'!$C$2:$C$94,"App or marketplace platform")/C21</f>
        <v>0</v>
      </c>
      <c r="I21" s="5">
        <f t="shared" si="1"/>
        <v>0</v>
      </c>
      <c r="J21" s="9" t="str">
        <f t="shared" si="2"/>
        <v>Limited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Workforce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</dc:creator>
  <cp:lastModifiedBy>SadikshyaKarki</cp:lastModifiedBy>
  <dcterms:created xsi:type="dcterms:W3CDTF">2026-08-20T07:34:00Z</dcterms:created>
  <dcterms:modified xsi:type="dcterms:W3CDTF">2026-08-18T20:33:08Z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F2521FF079A119CAB26F826ABB41E766_41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