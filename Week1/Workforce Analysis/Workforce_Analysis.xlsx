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Workforce Analysi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<sst xmlns="http://schemas.openxmlformats.org/spreadsheetml/2006/main" count="130" uniqueCount="53">
  <si>
    <t>ID</t>
  </si>
  <si>
    <t>Service or Profession</t>
  </si>
  <si>
    <t>Provider Found</t>
  </si>
  <si>
    <t>Demand Level</t>
  </si>
  <si>
    <t>Competition Level</t>
  </si>
  <si>
    <t>Rank</t>
  </si>
  <si>
    <t>% Formal Companies</t>
  </si>
  <si>
    <t>% App or Platform</t>
  </si>
  <si>
    <t>% Directory or Informal</t>
  </si>
  <si>
    <t>Supply Status</t>
  </si>
  <si>
    <t>Deep Cleaning</t>
  </si>
  <si>
    <t>High</t>
  </si>
  <si>
    <t>Garden Care</t>
  </si>
  <si>
    <t>Low</t>
  </si>
  <si>
    <t>Masonry Repair</t>
  </si>
  <si>
    <t>Medium</t>
  </si>
  <si>
    <t>Plumbing Repair</t>
  </si>
  <si>
    <t>Electrical Repair</t>
  </si>
  <si>
    <t>Carpentry</t>
  </si>
  <si>
    <t>Washing Machine Repair</t>
  </si>
  <si>
    <t>EV Charger Installation</t>
  </si>
  <si>
    <t>AC Services</t>
  </si>
  <si>
    <t>Painting</t>
  </si>
  <si>
    <t>Packing and Moving</t>
  </si>
  <si>
    <t>AirBnB Maintenance</t>
  </si>
  <si>
    <t>Bridal Makeup</t>
  </si>
  <si>
    <t>RO Water Purifying</t>
  </si>
  <si>
    <t>Refrigerator Repair</t>
  </si>
  <si>
    <t>CCTV Services</t>
  </si>
  <si>
    <t>Modular Kitchen</t>
  </si>
  <si>
    <t>Home Renovation</t>
  </si>
  <si>
    <t>Pest Control</t>
  </si>
  <si>
    <t>Drywall Repair</t>
  </si>
  <si>
    <t>Salon at Home</t>
  </si>
  <si>
    <t>Tiling</t>
  </si>
  <si>
    <t>Chef at Home</t>
  </si>
  <si>
    <t>Home Automation</t>
  </si>
  <si>
    <t>Parqueting</t>
  </si>
  <si>
    <t>Indoor Planting</t>
  </si>
  <si>
    <t>Spa at Home</t>
  </si>
  <si>
    <t>Physiotherapy</t>
  </si>
  <si>
    <t>Handyman</t>
  </si>
  <si>
    <t>Massage Therapy</t>
  </si>
  <si>
    <t>Water Tank Cleaning</t>
  </si>
  <si>
    <t>Aluminium Fabrication</t>
  </si>
  <si>
    <t>False Ceiling</t>
  </si>
  <si>
    <t>Computer Repair</t>
  </si>
  <si>
    <t>Geyser Repair</t>
  </si>
  <si>
    <t>Chimney Repair</t>
  </si>
  <si>
    <t>Tree Cutting and Pruning</t>
  </si>
  <si>
    <t>Septic Tank Cleaning</t>
  </si>
  <si>
    <t>Pet Grooming</t>
  </si>
  <si>
    <t>Lift or Elevator Repair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</si>
</sst>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"/>
    </font>
    <font>
      <sz val="10"/>
      <name val="Arial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92D050"/>
        <bgColor indexed="64"/>
      </patternFill>
    </fill>
    <fill>
      <patternFill patternType="solid">
        <fgColor rgb="FFED6F7E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justify" vertical="center" wrapText="1"/>
    </xf>
    <xf numFmtId="0" fontId="2" fillId="0" borderId="0" xfId="0" applyFont="1" applyFill="1" applyAlignment="1">
      <alignment horizontal="justify" vertical="center" wrapText="1"/>
    </xf>
    <xf numFmtId="0" fontId="2" fillId="3" borderId="0" xfId="0" applyFont="1" applyFill="1" applyAlignment="1">
      <alignment horizontal="justify" vertical="center" wrapText="1"/>
    </xf>
    <xf numFmtId="0" fontId="2" fillId="4" borderId="0" xfId="0" applyFont="1" applyFill="1" applyAlignment="1">
      <alignment horizontal="justify" vertical="center" wrapText="1"/>
    </xf>
    <xf numFmtId="9" fontId="2" fillId="0" borderId="0" xfId="0" applyNumberFormat="1" applyFont="1" applyFill="1" applyAlignment="1">
      <alignment horizontal="justify" vertical="center" wrapText="1"/>
    </xf>
    <xf numFmtId="0" fontId="2" fillId="5" borderId="0" xfId="0" applyFont="1" applyFill="1" applyAlignment="1">
      <alignment horizontal="justify" vertical="center" wrapText="1"/>
    </xf>
    <xf numFmtId="0" fontId="2" fillId="6" borderId="0" xfId="0" applyFont="1" applyFill="1" applyAlignment="1">
      <alignment horizontal="justify" vertical="center" wrapText="1"/>
    </xf>
    <xf numFmtId="0" fontId="2" fillId="7" borderId="0" xfId="0" applyFont="1" applyFill="1" applyAlignment="1">
      <alignment horizontal="justify" vertical="center" wrapText="1"/>
    </xf>
    <xf numFmtId="0" fontId="2" fillId="8" borderId="0" xfId="0" applyFont="1" applyFill="1" applyAlignment="1">
      <alignment horizontal="justify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dikshya/Desktop/Sriyog/Comparative%20Analysis/Comparative_Analysi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aritive Analysis"/>
    </sheetNames>
    <sheetDataSet>
      <sheetData sheetId="0">
        <row r="2">
          <cell r="A2" t="str">
            <v>Deep Cleaning</v>
          </cell>
        </row>
        <row r="2">
          <cell r="C2" t="str">
            <v>Organized company</v>
          </cell>
        </row>
        <row r="3">
          <cell r="A3" t="str">
            <v>Deep Cleaning</v>
          </cell>
        </row>
        <row r="3">
          <cell r="C3" t="str">
            <v>Organized company</v>
          </cell>
        </row>
        <row r="4">
          <cell r="A4" t="str">
            <v>Deep Cleaning</v>
          </cell>
        </row>
        <row r="4">
          <cell r="C4" t="str">
            <v>Organized company</v>
          </cell>
        </row>
        <row r="5">
          <cell r="A5" t="str">
            <v>Deep Cleaning</v>
          </cell>
        </row>
        <row r="5">
          <cell r="C5" t="str">
            <v>Organized company</v>
          </cell>
        </row>
        <row r="6">
          <cell r="A6" t="str">
            <v>Deep Cleaning</v>
          </cell>
        </row>
        <row r="6">
          <cell r="C6" t="str">
            <v>Listings or directory</v>
          </cell>
        </row>
        <row r="7">
          <cell r="A7" t="str">
            <v>Deep Cleaning</v>
          </cell>
        </row>
        <row r="7">
          <cell r="C7" t="str">
            <v>App or marketplace platform</v>
          </cell>
        </row>
        <row r="8">
          <cell r="A8" t="str">
            <v>Deep Cleaning</v>
          </cell>
        </row>
        <row r="8">
          <cell r="C8" t="str">
            <v>App or marketplace platform</v>
          </cell>
        </row>
        <row r="9">
          <cell r="A9" t="str">
            <v>Deep Cleaning</v>
          </cell>
        </row>
        <row r="9">
          <cell r="C9" t="str">
            <v>Organized company</v>
          </cell>
        </row>
        <row r="10">
          <cell r="A10" t="str">
            <v>Deep Cleaning</v>
          </cell>
        </row>
        <row r="10">
          <cell r="C10" t="str">
            <v>App or marketplace platform</v>
          </cell>
        </row>
        <row r="11">
          <cell r="A11" t="str">
            <v>Deep Cleaning</v>
          </cell>
        </row>
        <row r="11">
          <cell r="C11" t="str">
            <v>Organized company</v>
          </cell>
        </row>
        <row r="12">
          <cell r="A12" t="str">
            <v>Deep Cleaning</v>
          </cell>
        </row>
        <row r="12">
          <cell r="C12" t="str">
            <v>Organized company</v>
          </cell>
        </row>
        <row r="13">
          <cell r="A13" t="str">
            <v>Deep Cleaning</v>
          </cell>
        </row>
        <row r="13">
          <cell r="C13" t="str">
            <v>App or marketplace platform</v>
          </cell>
        </row>
        <row r="14">
          <cell r="A14" t="str">
            <v>Deep Cleaning</v>
          </cell>
        </row>
        <row r="14">
          <cell r="C14" t="str">
            <v>App or marketplace platform</v>
          </cell>
        </row>
        <row r="15">
          <cell r="A15" t="str">
            <v>Deep Cleaning</v>
          </cell>
        </row>
        <row r="15">
          <cell r="C15" t="str">
            <v>App or marketplace platform</v>
          </cell>
        </row>
        <row r="16">
          <cell r="A16" t="str">
            <v>Garden Care</v>
          </cell>
        </row>
        <row r="16">
          <cell r="C16" t="str">
            <v>Organized company</v>
          </cell>
        </row>
        <row r="17">
          <cell r="A17" t="str">
            <v>Garden Care</v>
          </cell>
        </row>
        <row r="17">
          <cell r="C17" t="str">
            <v>Listings or directory</v>
          </cell>
        </row>
        <row r="18">
          <cell r="A18" t="str">
            <v>Garden Care</v>
          </cell>
        </row>
        <row r="18">
          <cell r="C18" t="str">
            <v>Organized company</v>
          </cell>
        </row>
        <row r="19">
          <cell r="A19" t="str">
            <v>Garden Care</v>
          </cell>
        </row>
        <row r="19">
          <cell r="C19" t="str">
            <v>Organized company</v>
          </cell>
        </row>
        <row r="20">
          <cell r="A20" t="str">
            <v>Garden Care</v>
          </cell>
        </row>
        <row r="20">
          <cell r="C20" t="str">
            <v>Organized company</v>
          </cell>
        </row>
        <row r="21">
          <cell r="A21" t="str">
            <v>Garden Care</v>
          </cell>
        </row>
        <row r="21">
          <cell r="C21" t="str">
            <v>App or marketplace platform</v>
          </cell>
        </row>
        <row r="22">
          <cell r="A22" t="str">
            <v>Garden Care</v>
          </cell>
        </row>
        <row r="22">
          <cell r="C22" t="str">
            <v>App or marketplace platform</v>
          </cell>
        </row>
        <row r="23">
          <cell r="A23" t="str">
            <v>Garden Care</v>
          </cell>
        </row>
        <row r="23">
          <cell r="C23" t="str">
            <v>Organized company</v>
          </cell>
        </row>
        <row r="24">
          <cell r="A24" t="str">
            <v>Garden Care</v>
          </cell>
        </row>
        <row r="24">
          <cell r="C24" t="str">
            <v>Organized company</v>
          </cell>
        </row>
        <row r="25">
          <cell r="A25" t="str">
            <v>Garden Care</v>
          </cell>
        </row>
        <row r="25">
          <cell r="C25" t="str">
            <v>Organized company</v>
          </cell>
        </row>
        <row r="26">
          <cell r="A26" t="str">
            <v>Garden Care</v>
          </cell>
        </row>
        <row r="26">
          <cell r="C26" t="str">
            <v>Organized company</v>
          </cell>
        </row>
        <row r="27">
          <cell r="A27" t="str">
            <v>Masonry Repair</v>
          </cell>
        </row>
        <row r="27">
          <cell r="C27" t="str">
            <v>App or marketplace platform</v>
          </cell>
        </row>
        <row r="28">
          <cell r="A28" t="str">
            <v>Masonry Repair</v>
          </cell>
        </row>
        <row r="28">
          <cell r="C28" t="str">
            <v>App or marketplace platform</v>
          </cell>
        </row>
        <row r="29">
          <cell r="A29" t="str">
            <v>Masonry Repair</v>
          </cell>
        </row>
        <row r="29">
          <cell r="C29" t="str">
            <v>Organized company</v>
          </cell>
        </row>
        <row r="30">
          <cell r="A30" t="str">
            <v>Masonry Repair</v>
          </cell>
        </row>
        <row r="30">
          <cell r="C30" t="str">
            <v>Organized company</v>
          </cell>
        </row>
        <row r="31">
          <cell r="A31" t="str">
            <v>Masonry Repair</v>
          </cell>
        </row>
        <row r="31">
          <cell r="C31" t="str">
            <v>Organized company</v>
          </cell>
        </row>
        <row r="32">
          <cell r="A32" t="str">
            <v>Masonry Repair</v>
          </cell>
        </row>
        <row r="32">
          <cell r="C32" t="str">
            <v>App or marketplace platform</v>
          </cell>
        </row>
        <row r="33">
          <cell r="A33" t="str">
            <v>Plumbing Repair</v>
          </cell>
        </row>
        <row r="33">
          <cell r="C33" t="str">
            <v>Organized company</v>
          </cell>
        </row>
        <row r="34">
          <cell r="A34" t="str">
            <v>Plumbing Repair</v>
          </cell>
        </row>
        <row r="34">
          <cell r="C34" t="str">
            <v>Organized company</v>
          </cell>
        </row>
        <row r="35">
          <cell r="A35" t="str">
            <v>Plumbing Repair</v>
          </cell>
        </row>
        <row r="35">
          <cell r="C35" t="str">
            <v>App or marketplace platform</v>
          </cell>
        </row>
        <row r="36">
          <cell r="A36" t="str">
            <v>Plumbing Repair</v>
          </cell>
        </row>
        <row r="36">
          <cell r="C36" t="str">
            <v>App or marketplace platform</v>
          </cell>
        </row>
        <row r="37">
          <cell r="A37" t="str">
            <v>Plumbing Repair</v>
          </cell>
        </row>
        <row r="37">
          <cell r="C37" t="str">
            <v>Organized company</v>
          </cell>
        </row>
        <row r="38">
          <cell r="A38" t="str">
            <v>Plumbing Repair</v>
          </cell>
        </row>
        <row r="38">
          <cell r="C38" t="str">
            <v>Listings or directory</v>
          </cell>
        </row>
        <row r="39">
          <cell r="A39" t="str">
            <v>Plumbing Repair</v>
          </cell>
        </row>
        <row r="39">
          <cell r="C39" t="str">
            <v>App or marketplace platform</v>
          </cell>
        </row>
        <row r="40">
          <cell r="A40" t="str">
            <v>Plumbing Repair</v>
          </cell>
        </row>
        <row r="40">
          <cell r="C40" t="str">
            <v>App or marketplace platform</v>
          </cell>
        </row>
        <row r="41">
          <cell r="A41" t="str">
            <v>Plumbing Repair</v>
          </cell>
        </row>
        <row r="41">
          <cell r="C41" t="str">
            <v>App or marketplace platform</v>
          </cell>
        </row>
        <row r="42">
          <cell r="A42" t="str">
            <v>Plumbing Repair</v>
          </cell>
        </row>
        <row r="42">
          <cell r="C42" t="str">
            <v>Organized company</v>
          </cell>
        </row>
        <row r="43">
          <cell r="A43" t="str">
            <v>Plumbing Repair</v>
          </cell>
        </row>
        <row r="43">
          <cell r="C43" t="str">
            <v>Organized company</v>
          </cell>
        </row>
        <row r="44">
          <cell r="A44" t="str">
            <v>Plumbing Repair</v>
          </cell>
        </row>
        <row r="44">
          <cell r="C44" t="str">
            <v>Organized company</v>
          </cell>
        </row>
        <row r="45">
          <cell r="A45" t="str">
            <v>Plumbing Repair</v>
          </cell>
        </row>
        <row r="45">
          <cell r="C45" t="str">
            <v>App or marketplace platform</v>
          </cell>
        </row>
        <row r="46">
          <cell r="A46" t="str">
            <v>Plumbing Repair</v>
          </cell>
        </row>
        <row r="46">
          <cell r="C46" t="str">
            <v>Organized company</v>
          </cell>
        </row>
        <row r="47">
          <cell r="A47" t="str">
            <v>Plumbing Repair</v>
          </cell>
        </row>
        <row r="47">
          <cell r="C47" t="str">
            <v>App or marketplace platform</v>
          </cell>
        </row>
        <row r="48">
          <cell r="A48" t="str">
            <v>Plumbing Repair</v>
          </cell>
        </row>
        <row r="48">
          <cell r="C48" t="str">
            <v>App or marketplace platform</v>
          </cell>
        </row>
        <row r="49">
          <cell r="A49" t="str">
            <v>Plumbing Repair</v>
          </cell>
        </row>
        <row r="49">
          <cell r="C49" t="str">
            <v>Organized company</v>
          </cell>
        </row>
        <row r="50">
          <cell r="A50" t="str">
            <v>Plumbing Repair</v>
          </cell>
        </row>
        <row r="50">
          <cell r="C50" t="str">
            <v>App or marketplace platform</v>
          </cell>
        </row>
        <row r="51">
          <cell r="A51" t="str">
            <v>Plumbing Repair</v>
          </cell>
        </row>
        <row r="51">
          <cell r="C51" t="str">
            <v>App or marketplace platform</v>
          </cell>
        </row>
        <row r="52">
          <cell r="A52" t="str">
            <v>Plumbing Repair</v>
          </cell>
        </row>
        <row r="52">
          <cell r="C52" t="str">
            <v>Organized company</v>
          </cell>
        </row>
        <row r="53">
          <cell r="A53" t="str">
            <v>Electrical Repair</v>
          </cell>
        </row>
        <row r="53">
          <cell r="C53" t="str">
            <v>Organized company</v>
          </cell>
        </row>
        <row r="54">
          <cell r="A54" t="str">
            <v>Electrical Repair</v>
          </cell>
        </row>
        <row r="54">
          <cell r="C54" t="str">
            <v>Organized company</v>
          </cell>
        </row>
        <row r="55">
          <cell r="A55" t="str">
            <v>Electrical Repair</v>
          </cell>
        </row>
        <row r="55">
          <cell r="C55" t="str">
            <v>App or marketplace platform</v>
          </cell>
        </row>
        <row r="56">
          <cell r="A56" t="str">
            <v>Electrical Repair</v>
          </cell>
        </row>
        <row r="56">
          <cell r="C56" t="str">
            <v>App or marketplace platform</v>
          </cell>
        </row>
        <row r="57">
          <cell r="A57" t="str">
            <v>Electrical Repair</v>
          </cell>
        </row>
        <row r="57">
          <cell r="C57" t="str">
            <v>Organized company</v>
          </cell>
        </row>
        <row r="58">
          <cell r="A58" t="str">
            <v>Electrical Repair</v>
          </cell>
        </row>
        <row r="58">
          <cell r="C58" t="str">
            <v>Listings or directory</v>
          </cell>
        </row>
        <row r="59">
          <cell r="A59" t="str">
            <v>Electrical Repair</v>
          </cell>
        </row>
        <row r="59">
          <cell r="C59" t="str">
            <v>App or marketplace platform</v>
          </cell>
        </row>
        <row r="60">
          <cell r="A60" t="str">
            <v>Electrical Repair</v>
          </cell>
        </row>
        <row r="60">
          <cell r="C60" t="str">
            <v>App or marketplace platform</v>
          </cell>
        </row>
        <row r="61">
          <cell r="A61" t="str">
            <v>Electrical Repair</v>
          </cell>
        </row>
        <row r="61">
          <cell r="C61" t="str">
            <v>Organized company</v>
          </cell>
        </row>
        <row r="62">
          <cell r="A62" t="str">
            <v>Electrical Repair</v>
          </cell>
        </row>
        <row r="62">
          <cell r="C62" t="str">
            <v>Organized company</v>
          </cell>
        </row>
        <row r="63">
          <cell r="A63" t="str">
            <v>Electrical Repair</v>
          </cell>
        </row>
        <row r="63">
          <cell r="C63" t="str">
            <v>Organized company</v>
          </cell>
        </row>
        <row r="64">
          <cell r="A64" t="str">
            <v>Electrical Repair</v>
          </cell>
        </row>
        <row r="64">
          <cell r="C64" t="str">
            <v>App or marketplace platform</v>
          </cell>
        </row>
        <row r="65">
          <cell r="A65" t="str">
            <v>Electrical Repair</v>
          </cell>
        </row>
        <row r="65">
          <cell r="C65" t="str">
            <v>Organized company</v>
          </cell>
        </row>
        <row r="66">
          <cell r="A66" t="str">
            <v>Electrical Repair</v>
          </cell>
        </row>
        <row r="66">
          <cell r="C66" t="str">
            <v>App or marketplace platform</v>
          </cell>
        </row>
        <row r="67">
          <cell r="A67" t="str">
            <v>Electrical Repair</v>
          </cell>
        </row>
        <row r="67">
          <cell r="C67" t="str">
            <v>App or marketplace platform</v>
          </cell>
        </row>
        <row r="68">
          <cell r="A68" t="str">
            <v>Electrical Repair</v>
          </cell>
        </row>
        <row r="68">
          <cell r="C68" t="str">
            <v>Organized company</v>
          </cell>
        </row>
        <row r="69">
          <cell r="A69" t="str">
            <v>Electrical Repair</v>
          </cell>
        </row>
        <row r="69">
          <cell r="C69" t="str">
            <v>App or marketplace platform</v>
          </cell>
        </row>
        <row r="70">
          <cell r="A70" t="str">
            <v>Electrical Repair</v>
          </cell>
        </row>
        <row r="70">
          <cell r="C70" t="str">
            <v>App or marketplace platform</v>
          </cell>
        </row>
        <row r="71">
          <cell r="A71" t="str">
            <v>Electrical Repair</v>
          </cell>
        </row>
        <row r="71">
          <cell r="C71" t="str">
            <v>App or marketplace platform</v>
          </cell>
        </row>
        <row r="72">
          <cell r="A72" t="str">
            <v>Carpentry</v>
          </cell>
        </row>
        <row r="72">
          <cell r="C72" t="str">
            <v>Organized company</v>
          </cell>
        </row>
        <row r="73">
          <cell r="A73" t="str">
            <v>Carpentry</v>
          </cell>
        </row>
        <row r="73">
          <cell r="C73" t="str">
            <v>Organized company</v>
          </cell>
        </row>
        <row r="74">
          <cell r="A74" t="str">
            <v>Carpentry</v>
          </cell>
        </row>
        <row r="74">
          <cell r="C74" t="str">
            <v>App or marketplace platform</v>
          </cell>
        </row>
        <row r="75">
          <cell r="A75" t="str">
            <v>Carpentry</v>
          </cell>
        </row>
        <row r="75">
          <cell r="C75" t="str">
            <v>Listings or directory</v>
          </cell>
        </row>
        <row r="76">
          <cell r="A76" t="str">
            <v>Carpentry</v>
          </cell>
        </row>
        <row r="76">
          <cell r="C76" t="str">
            <v>App or marketplace platform</v>
          </cell>
        </row>
        <row r="77">
          <cell r="A77" t="str">
            <v>Carpentry</v>
          </cell>
        </row>
        <row r="77">
          <cell r="C77" t="str">
            <v>Organized company</v>
          </cell>
        </row>
        <row r="78">
          <cell r="A78" t="str">
            <v>Carpentry</v>
          </cell>
        </row>
        <row r="78">
          <cell r="C78" t="str">
            <v>App or marketplace platform</v>
          </cell>
        </row>
        <row r="79">
          <cell r="A79" t="str">
            <v>Carpentry</v>
          </cell>
        </row>
        <row r="79">
          <cell r="C79" t="str">
            <v>Organized company</v>
          </cell>
        </row>
        <row r="80">
          <cell r="A80" t="str">
            <v>Carpentry</v>
          </cell>
        </row>
        <row r="80">
          <cell r="C80" t="str">
            <v>App or marketplace platform</v>
          </cell>
        </row>
        <row r="81">
          <cell r="A81" t="str">
            <v>Carpentry</v>
          </cell>
        </row>
        <row r="81">
          <cell r="C81" t="str">
            <v>App or marketplace platform</v>
          </cell>
        </row>
        <row r="82">
          <cell r="A82" t="str">
            <v>Carpentry</v>
          </cell>
        </row>
        <row r="82">
          <cell r="C82" t="str">
            <v>App or marketplace platform</v>
          </cell>
        </row>
        <row r="83">
          <cell r="A83" t="str">
            <v>Washing Machine Repair</v>
          </cell>
        </row>
        <row r="83">
          <cell r="C83" t="str">
            <v>App or marketplace platform</v>
          </cell>
        </row>
        <row r="84">
          <cell r="A84" t="str">
            <v>Washing Machine Repair</v>
          </cell>
        </row>
        <row r="84">
          <cell r="C84" t="str">
            <v>App or marketplace platform</v>
          </cell>
        </row>
        <row r="85">
          <cell r="A85" t="str">
            <v>Washing Machine Repair</v>
          </cell>
        </row>
        <row r="85">
          <cell r="C85" t="str">
            <v>App or marketplace platform</v>
          </cell>
        </row>
        <row r="86">
          <cell r="A86" t="str">
            <v>Washing Machine Repair</v>
          </cell>
        </row>
        <row r="86">
          <cell r="C86" t="str">
            <v>Organized company</v>
          </cell>
        </row>
        <row r="87">
          <cell r="A87" t="str">
            <v>Washing Machine Repair</v>
          </cell>
        </row>
        <row r="87">
          <cell r="C87" t="str">
            <v>Brand-authorized service centre</v>
          </cell>
        </row>
        <row r="88">
          <cell r="A88" t="str">
            <v>Washing Machine Repair</v>
          </cell>
        </row>
        <row r="88">
          <cell r="C88" t="str">
            <v>Organized company</v>
          </cell>
        </row>
        <row r="89">
          <cell r="A89" t="str">
            <v>Washing Machine Repair</v>
          </cell>
        </row>
        <row r="89">
          <cell r="C89" t="str">
            <v>Organized company</v>
          </cell>
        </row>
        <row r="90">
          <cell r="A90" t="str">
            <v>Washing Machine Repair</v>
          </cell>
        </row>
        <row r="90">
          <cell r="C90" t="str">
            <v>App or marketplace platform</v>
          </cell>
        </row>
        <row r="91">
          <cell r="A91" t="str">
            <v>EV Charger Installation</v>
          </cell>
        </row>
        <row r="91">
          <cell r="C91" t="str">
            <v>App or marketplace platform</v>
          </cell>
        </row>
        <row r="92">
          <cell r="A92" t="str">
            <v>EV Charger Installation</v>
          </cell>
        </row>
        <row r="92">
          <cell r="C92" t="str">
            <v>Organized company</v>
          </cell>
        </row>
        <row r="93">
          <cell r="A93" t="str">
            <v>EV Charger Installation</v>
          </cell>
        </row>
        <row r="93">
          <cell r="C93" t="str">
            <v>App or marketplace platform</v>
          </cell>
        </row>
        <row r="94">
          <cell r="A94" t="str">
            <v>EV Charger Installation</v>
          </cell>
        </row>
        <row r="94">
          <cell r="C94" t="str">
            <v>Organized company</v>
          </cell>
        </row>
        <row r="95">
          <cell r="A95" t="str">
            <v>AC Services</v>
          </cell>
        </row>
        <row r="95">
          <cell r="C95" t="str">
            <v>App or marketplace platform</v>
          </cell>
        </row>
        <row r="96">
          <cell r="A96" t="str">
            <v>AC Services</v>
          </cell>
        </row>
        <row r="96">
          <cell r="C96" t="str">
            <v>App or marketplace platform</v>
          </cell>
        </row>
        <row r="97">
          <cell r="A97" t="str">
            <v>AC Services</v>
          </cell>
        </row>
        <row r="97">
          <cell r="C97" t="str">
            <v>Organized company</v>
          </cell>
        </row>
        <row r="98">
          <cell r="A98" t="str">
            <v>AC Services</v>
          </cell>
        </row>
        <row r="98">
          <cell r="C98" t="str">
            <v>App or marketplace platform</v>
          </cell>
        </row>
        <row r="99">
          <cell r="A99" t="str">
            <v>AC Services</v>
          </cell>
        </row>
        <row r="99">
          <cell r="C99" t="str">
            <v>Organized company</v>
          </cell>
        </row>
        <row r="100">
          <cell r="A100" t="str">
            <v>AC Services</v>
          </cell>
        </row>
        <row r="100">
          <cell r="C100" t="str">
            <v>Brand-authorized service centre</v>
          </cell>
        </row>
        <row r="101">
          <cell r="A101" t="str">
            <v>AC Services</v>
          </cell>
        </row>
        <row r="101">
          <cell r="C101" t="str">
            <v>Organized company</v>
          </cell>
        </row>
        <row r="102">
          <cell r="A102" t="str">
            <v>AC Services</v>
          </cell>
        </row>
        <row r="102">
          <cell r="C102" t="str">
            <v>Organized company</v>
          </cell>
        </row>
        <row r="103">
          <cell r="A103" t="str">
            <v>AC Services</v>
          </cell>
        </row>
        <row r="103">
          <cell r="C103" t="str">
            <v>App or marketplace platform</v>
          </cell>
        </row>
        <row r="104">
          <cell r="A104" t="str">
            <v>AC Services</v>
          </cell>
        </row>
        <row r="104">
          <cell r="C104" t="str">
            <v>Organized company</v>
          </cell>
        </row>
        <row r="105">
          <cell r="A105" t="str">
            <v>AC Services</v>
          </cell>
        </row>
        <row r="105">
          <cell r="C105" t="str">
            <v>App or marketplace platform</v>
          </cell>
        </row>
        <row r="106">
          <cell r="A106" t="str">
            <v>AC Services</v>
          </cell>
        </row>
        <row r="106">
          <cell r="C106" t="str">
            <v>App or marketplace platform</v>
          </cell>
        </row>
        <row r="107">
          <cell r="A107" t="str">
            <v>AC Services</v>
          </cell>
        </row>
        <row r="107">
          <cell r="C107" t="str">
            <v>App or marketplace platform</v>
          </cell>
        </row>
        <row r="108">
          <cell r="A108" t="str">
            <v>AC Services</v>
          </cell>
        </row>
        <row r="108">
          <cell r="C108" t="str">
            <v>App or marketplace platform</v>
          </cell>
        </row>
        <row r="109">
          <cell r="A109" t="str">
            <v>Painting</v>
          </cell>
        </row>
        <row r="109">
          <cell r="C109" t="str">
            <v>Organized company</v>
          </cell>
        </row>
        <row r="110">
          <cell r="A110" t="str">
            <v>Painting</v>
          </cell>
        </row>
        <row r="110">
          <cell r="C110" t="str">
            <v>Organized company</v>
          </cell>
        </row>
        <row r="111">
          <cell r="A111" t="str">
            <v>Painting</v>
          </cell>
        </row>
        <row r="111">
          <cell r="C111" t="str">
            <v>App or marketplace platform</v>
          </cell>
        </row>
        <row r="112">
          <cell r="A112" t="str">
            <v>Painting</v>
          </cell>
        </row>
        <row r="112">
          <cell r="C112" t="str">
            <v>Organized company</v>
          </cell>
        </row>
        <row r="113">
          <cell r="A113" t="str">
            <v>Painting</v>
          </cell>
        </row>
        <row r="113">
          <cell r="C113" t="str">
            <v>Organized company</v>
          </cell>
        </row>
        <row r="114">
          <cell r="A114" t="str">
            <v>Painting</v>
          </cell>
        </row>
        <row r="114">
          <cell r="C114" t="str">
            <v>Listings or directory</v>
          </cell>
        </row>
        <row r="115">
          <cell r="A115" t="str">
            <v>Painting</v>
          </cell>
        </row>
        <row r="115">
          <cell r="C115" t="str">
            <v>Organized company</v>
          </cell>
        </row>
        <row r="116">
          <cell r="A116" t="str">
            <v>Painting</v>
          </cell>
        </row>
        <row r="116">
          <cell r="C116" t="str">
            <v>App or marketplace platform</v>
          </cell>
        </row>
        <row r="117">
          <cell r="A117" t="str">
            <v>Painting</v>
          </cell>
        </row>
        <row r="117">
          <cell r="C117" t="str">
            <v>Organized company</v>
          </cell>
        </row>
        <row r="118">
          <cell r="A118" t="str">
            <v>Painting</v>
          </cell>
        </row>
        <row r="118">
          <cell r="C118" t="str">
            <v>App or marketplace platform</v>
          </cell>
        </row>
        <row r="119">
          <cell r="A119" t="str">
            <v>Painting</v>
          </cell>
        </row>
        <row r="119">
          <cell r="C119" t="str">
            <v>Organized company</v>
          </cell>
        </row>
        <row r="120">
          <cell r="A120" t="str">
            <v>Painting</v>
          </cell>
        </row>
        <row r="120">
          <cell r="C120" t="str">
            <v>Organized company</v>
          </cell>
        </row>
        <row r="121">
          <cell r="A121" t="str">
            <v>Painting</v>
          </cell>
        </row>
        <row r="121">
          <cell r="C121" t="str">
            <v>App or marketplace platform</v>
          </cell>
        </row>
        <row r="122">
          <cell r="A122" t="str">
            <v>Painting</v>
          </cell>
        </row>
        <row r="122">
          <cell r="C122" t="str">
            <v>Organized company</v>
          </cell>
        </row>
        <row r="123">
          <cell r="A123" t="str">
            <v>Painting</v>
          </cell>
        </row>
        <row r="123">
          <cell r="C123" t="str">
            <v>Organized company</v>
          </cell>
        </row>
        <row r="124">
          <cell r="A124" t="str">
            <v>Painting</v>
          </cell>
        </row>
        <row r="124">
          <cell r="C124" t="str">
            <v>App or marketplace platform</v>
          </cell>
        </row>
        <row r="125">
          <cell r="A125" t="str">
            <v>Painting</v>
          </cell>
        </row>
        <row r="125">
          <cell r="C125" t="str">
            <v>App or marketplace platform</v>
          </cell>
        </row>
        <row r="126">
          <cell r="A126" t="str">
            <v>Packing and Moving</v>
          </cell>
        </row>
        <row r="126">
          <cell r="C126" t="str">
            <v>Organized company</v>
          </cell>
        </row>
        <row r="127">
          <cell r="A127" t="str">
            <v>Packing and Moving</v>
          </cell>
        </row>
        <row r="127">
          <cell r="C127" t="str">
            <v>App or marketplace platform</v>
          </cell>
        </row>
        <row r="128">
          <cell r="A128" t="str">
            <v>Packing and Moving</v>
          </cell>
        </row>
        <row r="128">
          <cell r="C128" t="str">
            <v>App or marketplace platform</v>
          </cell>
        </row>
        <row r="129">
          <cell r="A129" t="str">
            <v>Packing and Moving</v>
          </cell>
        </row>
        <row r="129">
          <cell r="C129" t="str">
            <v>Organized company</v>
          </cell>
        </row>
        <row r="130">
          <cell r="A130" t="str">
            <v>Packing and Moving</v>
          </cell>
        </row>
        <row r="130">
          <cell r="C130" t="str">
            <v>Organized company</v>
          </cell>
        </row>
        <row r="131">
          <cell r="A131" t="str">
            <v>Packing and Moving</v>
          </cell>
        </row>
        <row r="131">
          <cell r="C131" t="str">
            <v>Organized company</v>
          </cell>
        </row>
        <row r="132">
          <cell r="A132" t="str">
            <v>Packing and Moving</v>
          </cell>
        </row>
        <row r="132">
          <cell r="C132" t="str">
            <v>Organized company</v>
          </cell>
        </row>
        <row r="133">
          <cell r="A133" t="str">
            <v>Packing and Moving</v>
          </cell>
        </row>
        <row r="133">
          <cell r="C133" t="str">
            <v>Organized company</v>
          </cell>
        </row>
        <row r="134">
          <cell r="A134" t="str">
            <v>Packing and Moving</v>
          </cell>
        </row>
        <row r="134">
          <cell r="C134" t="str">
            <v>Organized company</v>
          </cell>
        </row>
        <row r="135">
          <cell r="A135" t="str">
            <v>AirBnB Maintenance</v>
          </cell>
        </row>
        <row r="135">
          <cell r="C135" t="str">
            <v>Organized company</v>
          </cell>
        </row>
        <row r="136">
          <cell r="A136" t="str">
            <v>AirBnB Maintenance</v>
          </cell>
        </row>
        <row r="136">
          <cell r="C136" t="str">
            <v>Organized company</v>
          </cell>
        </row>
        <row r="137">
          <cell r="A137" t="str">
            <v>Bridal Makeup</v>
          </cell>
        </row>
        <row r="137">
          <cell r="C137" t="str">
            <v>App or marketplace platform</v>
          </cell>
        </row>
        <row r="138">
          <cell r="A138" t="str">
            <v>Bridal Makeup</v>
          </cell>
        </row>
        <row r="138">
          <cell r="C138" t="str">
            <v>Listings or directory</v>
          </cell>
        </row>
        <row r="139">
          <cell r="A139" t="str">
            <v>Bridal Makeup</v>
          </cell>
        </row>
        <row r="139">
          <cell r="C139" t="str">
            <v>Organized company</v>
          </cell>
        </row>
        <row r="140">
          <cell r="A140" t="str">
            <v>Bridal Makeup</v>
          </cell>
        </row>
        <row r="140">
          <cell r="C140" t="str">
            <v>Individual or informal (Instagram)</v>
          </cell>
        </row>
        <row r="141">
          <cell r="A141" t="str">
            <v>Bridal Makeup</v>
          </cell>
        </row>
        <row r="141">
          <cell r="C141" t="str">
            <v>Individual or informal (Facebook)</v>
          </cell>
        </row>
        <row r="142">
          <cell r="A142" t="str">
            <v>Bridal Makeup</v>
          </cell>
        </row>
        <row r="142">
          <cell r="C142" t="str">
            <v>Individual or informal (Instagram)</v>
          </cell>
        </row>
        <row r="143">
          <cell r="A143" t="str">
            <v>Bridal Makeup</v>
          </cell>
        </row>
        <row r="143">
          <cell r="C143" t="str">
            <v>Listings or directory</v>
          </cell>
        </row>
        <row r="144">
          <cell r="A144" t="str">
            <v>Bridal Makeup</v>
          </cell>
        </row>
        <row r="144">
          <cell r="C144" t="str">
            <v>Listings or directory</v>
          </cell>
        </row>
        <row r="145">
          <cell r="A145" t="str">
            <v>Bridal Makeup</v>
          </cell>
        </row>
        <row r="145">
          <cell r="C145" t="str">
            <v>Listings or directory</v>
          </cell>
        </row>
        <row r="146">
          <cell r="A146" t="str">
            <v>Bridal Makeup</v>
          </cell>
        </row>
        <row r="146">
          <cell r="C146" t="str">
            <v>Listings or directory</v>
          </cell>
        </row>
        <row r="147">
          <cell r="A147" t="str">
            <v>Bridal Makeup</v>
          </cell>
        </row>
        <row r="147">
          <cell r="C147" t="str">
            <v>Organized company</v>
          </cell>
        </row>
        <row r="148">
          <cell r="A148" t="str">
            <v>RO Water Purifying</v>
          </cell>
        </row>
        <row r="148">
          <cell r="C148" t="str">
            <v>App or marketplace platform</v>
          </cell>
        </row>
        <row r="149">
          <cell r="A149" t="str">
            <v>RO Water Purifying</v>
          </cell>
        </row>
        <row r="149">
          <cell r="C149" t="str">
            <v>App or marketplace platform</v>
          </cell>
        </row>
        <row r="150">
          <cell r="A150" t="str">
            <v>RO Water Purifying</v>
          </cell>
        </row>
        <row r="150">
          <cell r="C150" t="str">
            <v>App or marketplace platform</v>
          </cell>
        </row>
        <row r="151">
          <cell r="A151" t="str">
            <v>RO Water Purifying</v>
          </cell>
        </row>
        <row r="151">
          <cell r="C151" t="str">
            <v>Organized company</v>
          </cell>
        </row>
        <row r="152">
          <cell r="A152" t="str">
            <v>RO Water Purifying</v>
          </cell>
        </row>
        <row r="152">
          <cell r="C152" t="str">
            <v>Brand-authorized service centre</v>
          </cell>
        </row>
        <row r="153">
          <cell r="A153" t="str">
            <v>RO Water Purifying</v>
          </cell>
        </row>
        <row r="153">
          <cell r="C153" t="str">
            <v>Organized company</v>
          </cell>
        </row>
        <row r="154">
          <cell r="A154" t="str">
            <v>Refrigerator Repair</v>
          </cell>
        </row>
        <row r="154">
          <cell r="C154" t="str">
            <v>App or marketplace platform</v>
          </cell>
        </row>
        <row r="155">
          <cell r="A155" t="str">
            <v>Refrigerator Repair</v>
          </cell>
        </row>
        <row r="155">
          <cell r="C155" t="str">
            <v>App or marketplace platform</v>
          </cell>
        </row>
        <row r="156">
          <cell r="A156" t="str">
            <v>Refrigerator Repair</v>
          </cell>
        </row>
        <row r="156">
          <cell r="C156" t="str">
            <v>App or marketplace platform</v>
          </cell>
        </row>
        <row r="157">
          <cell r="A157" t="str">
            <v>Refrigerator Repair</v>
          </cell>
        </row>
        <row r="157">
          <cell r="C157" t="str">
            <v>Organized company</v>
          </cell>
        </row>
        <row r="158">
          <cell r="A158" t="str">
            <v>Refrigerator Repair</v>
          </cell>
        </row>
        <row r="158">
          <cell r="C158" t="str">
            <v>Brand-authorized service centre</v>
          </cell>
        </row>
        <row r="159">
          <cell r="A159" t="str">
            <v>Refrigerator Repair</v>
          </cell>
        </row>
        <row r="159">
          <cell r="C159" t="str">
            <v>Organized company</v>
          </cell>
        </row>
        <row r="160">
          <cell r="A160" t="str">
            <v>Refrigerator Repair</v>
          </cell>
        </row>
        <row r="160">
          <cell r="C160" t="str">
            <v>Organized company</v>
          </cell>
        </row>
        <row r="161">
          <cell r="A161" t="str">
            <v>CCTV Services</v>
          </cell>
        </row>
        <row r="161">
          <cell r="C161" t="str">
            <v>App or marketplace platform</v>
          </cell>
        </row>
        <row r="162">
          <cell r="A162" t="str">
            <v>CCTV Services</v>
          </cell>
        </row>
        <row r="162">
          <cell r="C162" t="str">
            <v>Organized company</v>
          </cell>
        </row>
        <row r="163">
          <cell r="A163" t="str">
            <v>CCTV Services</v>
          </cell>
        </row>
        <row r="163">
          <cell r="C163" t="str">
            <v>App or marketplace platform</v>
          </cell>
        </row>
        <row r="164">
          <cell r="A164" t="str">
            <v>CCTV Services</v>
          </cell>
        </row>
        <row r="164">
          <cell r="C164" t="str">
            <v>Organized company</v>
          </cell>
        </row>
        <row r="165">
          <cell r="A165" t="str">
            <v>CCTV Services</v>
          </cell>
        </row>
        <row r="165">
          <cell r="C165" t="str">
            <v>Organized company</v>
          </cell>
        </row>
        <row r="166">
          <cell r="A166" t="str">
            <v>CCTV Services</v>
          </cell>
        </row>
        <row r="166">
          <cell r="C166" t="str">
            <v>App or marketplace platform</v>
          </cell>
        </row>
        <row r="167">
          <cell r="A167" t="str">
            <v>CCTV Services</v>
          </cell>
        </row>
        <row r="167">
          <cell r="C167" t="str">
            <v>App or marketplace platform</v>
          </cell>
        </row>
        <row r="168">
          <cell r="A168" t="str">
            <v>CCTV Services</v>
          </cell>
        </row>
        <row r="168">
          <cell r="C168" t="str">
            <v>Organized company</v>
          </cell>
        </row>
        <row r="169">
          <cell r="A169" t="str">
            <v>CCTV Services</v>
          </cell>
        </row>
        <row r="169">
          <cell r="C169" t="str">
            <v>App or marketplace platform</v>
          </cell>
        </row>
        <row r="170">
          <cell r="A170" t="str">
            <v>Modular Kitchen</v>
          </cell>
        </row>
        <row r="170">
          <cell r="C170" t="str">
            <v>Organized company</v>
          </cell>
        </row>
        <row r="171">
          <cell r="A171" t="str">
            <v>Modular Kitchen</v>
          </cell>
        </row>
        <row r="171">
          <cell r="C171" t="str">
            <v>Organized company</v>
          </cell>
        </row>
        <row r="172">
          <cell r="A172" t="str">
            <v>Modular Kitchen</v>
          </cell>
        </row>
        <row r="172">
          <cell r="C172" t="str">
            <v>Organized company</v>
          </cell>
        </row>
        <row r="173">
          <cell r="A173" t="str">
            <v>Modular Kitchen</v>
          </cell>
        </row>
        <row r="173">
          <cell r="C173" t="str">
            <v>Organized company</v>
          </cell>
        </row>
        <row r="174">
          <cell r="A174" t="str">
            <v>Modular Kitchen</v>
          </cell>
        </row>
        <row r="174">
          <cell r="C174" t="str">
            <v>Organized company</v>
          </cell>
        </row>
        <row r="175">
          <cell r="A175" t="str">
            <v>Modular Kitchen</v>
          </cell>
        </row>
        <row r="175">
          <cell r="C175" t="str">
            <v>Organized company</v>
          </cell>
        </row>
        <row r="176">
          <cell r="A176" t="str">
            <v>Modular Kitchen</v>
          </cell>
        </row>
        <row r="176">
          <cell r="C176" t="str">
            <v>Organized company</v>
          </cell>
        </row>
        <row r="177">
          <cell r="A177" t="str">
            <v>Modular Kitchen</v>
          </cell>
        </row>
        <row r="177">
          <cell r="C177" t="str">
            <v>Brand-authorized service centre</v>
          </cell>
        </row>
        <row r="178">
          <cell r="A178" t="str">
            <v>Modular Kitchen</v>
          </cell>
        </row>
        <row r="178">
          <cell r="C178" t="str">
            <v>Individual or informal (Facebook)</v>
          </cell>
        </row>
        <row r="179">
          <cell r="A179" t="str">
            <v>Modular Kitchen</v>
          </cell>
        </row>
        <row r="179">
          <cell r="C179" t="str">
            <v>App or marketplace platform</v>
          </cell>
        </row>
        <row r="180">
          <cell r="A180" t="str">
            <v>Modular Kitchen</v>
          </cell>
        </row>
        <row r="180">
          <cell r="C180" t="str">
            <v>App or marketplace platform</v>
          </cell>
        </row>
        <row r="181">
          <cell r="A181" t="str">
            <v>Home Renovation</v>
          </cell>
        </row>
        <row r="181">
          <cell r="C181" t="str">
            <v>App or marketplace platform</v>
          </cell>
        </row>
        <row r="182">
          <cell r="A182" t="str">
            <v>Home Renovation</v>
          </cell>
        </row>
        <row r="182">
          <cell r="C182" t="str">
            <v>App or marketplace platform</v>
          </cell>
        </row>
        <row r="183">
          <cell r="A183" t="str">
            <v>Home Renovation</v>
          </cell>
        </row>
        <row r="183">
          <cell r="C183" t="str">
            <v>Organized company</v>
          </cell>
        </row>
        <row r="184">
          <cell r="A184" t="str">
            <v>Home Renovation</v>
          </cell>
        </row>
        <row r="184">
          <cell r="C184" t="str">
            <v>Organized company</v>
          </cell>
        </row>
        <row r="185">
          <cell r="A185" t="str">
            <v>Home Renovation</v>
          </cell>
        </row>
        <row r="185">
          <cell r="C185" t="str">
            <v>Organized company</v>
          </cell>
        </row>
        <row r="186">
          <cell r="A186" t="str">
            <v>Home Renovation</v>
          </cell>
        </row>
        <row r="186">
          <cell r="C186" t="str">
            <v>Organized construction company</v>
          </cell>
        </row>
        <row r="187">
          <cell r="A187" t="str">
            <v>Home Renovation</v>
          </cell>
        </row>
        <row r="187">
          <cell r="C187" t="str">
            <v>App or marketplace platform</v>
          </cell>
        </row>
        <row r="188">
          <cell r="A188" t="str">
            <v>Home Renovation</v>
          </cell>
        </row>
        <row r="188">
          <cell r="C188" t="str">
            <v>Organized company</v>
          </cell>
        </row>
        <row r="189">
          <cell r="A189" t="str">
            <v>Home Renovation</v>
          </cell>
        </row>
        <row r="189">
          <cell r="C189" t="str">
            <v>Organized construction company</v>
          </cell>
        </row>
        <row r="190">
          <cell r="A190" t="str">
            <v>Pest Control</v>
          </cell>
        </row>
        <row r="190">
          <cell r="C190" t="str">
            <v>Organized company</v>
          </cell>
        </row>
        <row r="191">
          <cell r="A191" t="str">
            <v>Pest Control</v>
          </cell>
        </row>
        <row r="191">
          <cell r="C191" t="str">
            <v>App or marketplace platform</v>
          </cell>
        </row>
        <row r="192">
          <cell r="A192" t="str">
            <v>Pest Control</v>
          </cell>
        </row>
        <row r="192">
          <cell r="C192" t="str">
            <v>Organized company</v>
          </cell>
        </row>
        <row r="193">
          <cell r="A193" t="str">
            <v>Pest Control</v>
          </cell>
        </row>
        <row r="193">
          <cell r="C193" t="str">
            <v>Organized company</v>
          </cell>
        </row>
        <row r="194">
          <cell r="A194" t="str">
            <v>Pest Control</v>
          </cell>
        </row>
        <row r="194">
          <cell r="C194" t="str">
            <v>Organized company</v>
          </cell>
        </row>
        <row r="195">
          <cell r="A195" t="str">
            <v>Pest Control</v>
          </cell>
        </row>
        <row r="195">
          <cell r="C195" t="str">
            <v>App or marketplace platform</v>
          </cell>
        </row>
        <row r="196">
          <cell r="A196" t="str">
            <v>Pest Control</v>
          </cell>
        </row>
        <row r="196">
          <cell r="C196" t="str">
            <v>App or marketplace platform</v>
          </cell>
        </row>
        <row r="197">
          <cell r="A197" t="str">
            <v>Pest Control</v>
          </cell>
        </row>
        <row r="197">
          <cell r="C197" t="str">
            <v>Organized company</v>
          </cell>
        </row>
        <row r="198">
          <cell r="A198" t="str">
            <v>Pest Control</v>
          </cell>
        </row>
        <row r="198">
          <cell r="C198" t="str">
            <v>App or marketplace platform</v>
          </cell>
        </row>
        <row r="199">
          <cell r="A199" t="str">
            <v>Pest Control</v>
          </cell>
        </row>
        <row r="199">
          <cell r="C199" t="str">
            <v>Organized company</v>
          </cell>
        </row>
        <row r="200">
          <cell r="A200" t="str">
            <v>Pest Control</v>
          </cell>
        </row>
        <row r="200">
          <cell r="C200" t="str">
            <v>Organized company</v>
          </cell>
        </row>
        <row r="201">
          <cell r="A201" t="str">
            <v>Drywall Repair</v>
          </cell>
        </row>
        <row r="201">
          <cell r="C201" t="str">
            <v>Organized company</v>
          </cell>
        </row>
        <row r="202">
          <cell r="A202" t="str">
            <v>Drywall Repair</v>
          </cell>
        </row>
        <row r="202">
          <cell r="C202" t="str">
            <v>Organized company</v>
          </cell>
        </row>
        <row r="203">
          <cell r="A203" t="str">
            <v>Salon at Home</v>
          </cell>
        </row>
        <row r="203">
          <cell r="C203" t="str">
            <v>App or marketplace platform</v>
          </cell>
        </row>
        <row r="204">
          <cell r="A204" t="str">
            <v>Salon at Home</v>
          </cell>
        </row>
        <row r="204">
          <cell r="C204" t="str">
            <v>Listings or directory</v>
          </cell>
        </row>
        <row r="205">
          <cell r="A205" t="str">
            <v>Salon at Home</v>
          </cell>
        </row>
        <row r="205">
          <cell r="C205" t="str">
            <v>App or marketplace platform</v>
          </cell>
        </row>
        <row r="206">
          <cell r="A206" t="str">
            <v>Salon at Home</v>
          </cell>
        </row>
        <row r="206">
          <cell r="C206" t="str">
            <v>Organized company</v>
          </cell>
        </row>
        <row r="207">
          <cell r="A207" t="str">
            <v>Salon at Home</v>
          </cell>
        </row>
        <row r="207">
          <cell r="C207" t="str">
            <v>Organized company</v>
          </cell>
        </row>
        <row r="208">
          <cell r="A208" t="str">
            <v>Salon at Home</v>
          </cell>
        </row>
        <row r="208">
          <cell r="C208" t="str">
            <v>Organized company</v>
          </cell>
        </row>
        <row r="209">
          <cell r="A209" t="str">
            <v>Salon at Home</v>
          </cell>
        </row>
        <row r="209">
          <cell r="C209" t="str">
            <v>Individual or informal (Instagram)</v>
          </cell>
        </row>
        <row r="210">
          <cell r="A210" t="str">
            <v>Salon at Home</v>
          </cell>
        </row>
        <row r="210">
          <cell r="C210" t="str">
            <v>Individual or informal (Instagram)</v>
          </cell>
        </row>
        <row r="211">
          <cell r="A211" t="str">
            <v>Salon at Home</v>
          </cell>
        </row>
        <row r="211">
          <cell r="C211" t="str">
            <v>Individual or informal (Facebook)</v>
          </cell>
        </row>
        <row r="212">
          <cell r="A212" t="str">
            <v>Salon at Home</v>
          </cell>
        </row>
        <row r="212">
          <cell r="C212" t="str">
            <v>Individual or informal (Facebook)</v>
          </cell>
        </row>
        <row r="213">
          <cell r="A213" t="str">
            <v>Salon at Home</v>
          </cell>
        </row>
        <row r="213">
          <cell r="C213" t="str">
            <v>Listings or directory</v>
          </cell>
        </row>
        <row r="214">
          <cell r="A214" t="str">
            <v>Tiling</v>
          </cell>
        </row>
        <row r="214">
          <cell r="C214" t="str">
            <v>App or marketplace platform</v>
          </cell>
        </row>
        <row r="215">
          <cell r="A215" t="str">
            <v>Tiling</v>
          </cell>
        </row>
        <row r="215">
          <cell r="C215" t="str">
            <v>Organized company</v>
          </cell>
        </row>
        <row r="216">
          <cell r="A216" t="str">
            <v>Tiling</v>
          </cell>
        </row>
        <row r="216">
          <cell r="C216" t="str">
            <v>Organized company</v>
          </cell>
        </row>
        <row r="217">
          <cell r="A217" t="str">
            <v>Tiling</v>
          </cell>
        </row>
        <row r="217">
          <cell r="C217" t="str">
            <v>App or marketplace platform</v>
          </cell>
        </row>
        <row r="218">
          <cell r="A218" t="str">
            <v>Tiling</v>
          </cell>
        </row>
        <row r="218">
          <cell r="C218" t="str">
            <v>App or marketplace platform</v>
          </cell>
        </row>
        <row r="219">
          <cell r="A219" t="str">
            <v>Tiling</v>
          </cell>
        </row>
        <row r="219">
          <cell r="C219" t="str">
            <v>Listings or directory</v>
          </cell>
        </row>
        <row r="220">
          <cell r="A220" t="str">
            <v>Tiling</v>
          </cell>
        </row>
        <row r="220">
          <cell r="C220" t="str">
            <v>Listings or directory</v>
          </cell>
        </row>
        <row r="221">
          <cell r="A221" t="str">
            <v>Tiling</v>
          </cell>
        </row>
        <row r="221">
          <cell r="C221" t="str">
            <v>Organized company</v>
          </cell>
        </row>
        <row r="222">
          <cell r="A222" t="str">
            <v>Tiling</v>
          </cell>
        </row>
        <row r="222">
          <cell r="C222" t="str">
            <v>App or marketplace platform</v>
          </cell>
        </row>
        <row r="223">
          <cell r="A223" t="str">
            <v>Chef at Home</v>
          </cell>
        </row>
        <row r="223">
          <cell r="C223" t="str">
            <v>App or marketplace platform</v>
          </cell>
        </row>
        <row r="224">
          <cell r="A224" t="str">
            <v>Chef at Home</v>
          </cell>
        </row>
        <row r="224">
          <cell r="C224" t="str">
            <v>Organized company</v>
          </cell>
        </row>
        <row r="225">
          <cell r="A225" t="str">
            <v>Chef at Home</v>
          </cell>
        </row>
        <row r="225">
          <cell r="C225" t="str">
            <v>App or marketplace platform</v>
          </cell>
        </row>
        <row r="226">
          <cell r="A226" t="str">
            <v>Home Automation</v>
          </cell>
        </row>
        <row r="226">
          <cell r="C226" t="str">
            <v>Organized company</v>
          </cell>
        </row>
        <row r="227">
          <cell r="A227" t="str">
            <v>Home Automation</v>
          </cell>
        </row>
        <row r="227">
          <cell r="C227" t="str">
            <v>Organized company</v>
          </cell>
        </row>
        <row r="228">
          <cell r="A228" t="str">
            <v>Parqueting</v>
          </cell>
        </row>
        <row r="228">
          <cell r="C228" t="str">
            <v>Organized company</v>
          </cell>
        </row>
        <row r="229">
          <cell r="A229" t="str">
            <v>Parqueting</v>
          </cell>
        </row>
        <row r="229">
          <cell r="C229" t="str">
            <v>Organized company</v>
          </cell>
        </row>
        <row r="230">
          <cell r="A230" t="str">
            <v>Parqueting</v>
          </cell>
        </row>
        <row r="230">
          <cell r="C230" t="str">
            <v>Individual or informal (Facebook)</v>
          </cell>
        </row>
        <row r="231">
          <cell r="A231" t="str">
            <v>Parqueting</v>
          </cell>
        </row>
        <row r="231">
          <cell r="C231" t="str">
            <v>Organized company</v>
          </cell>
        </row>
        <row r="232">
          <cell r="A232" t="str">
            <v>Indoor Planting</v>
          </cell>
        </row>
        <row r="232">
          <cell r="C232" t="str">
            <v>Organized company</v>
          </cell>
        </row>
        <row r="233">
          <cell r="A233" t="str">
            <v>Indoor Planting</v>
          </cell>
        </row>
        <row r="233">
          <cell r="C233" t="str">
            <v>Individual or informal (Facebook)</v>
          </cell>
        </row>
        <row r="234">
          <cell r="A234" t="str">
            <v>Indoor Planting</v>
          </cell>
        </row>
        <row r="234">
          <cell r="C234" t="str">
            <v>Individual or informal (Facebook)</v>
          </cell>
        </row>
        <row r="235">
          <cell r="A235" t="str">
            <v>Indoor Planting</v>
          </cell>
        </row>
        <row r="235">
          <cell r="C235" t="str">
            <v>Organized company</v>
          </cell>
        </row>
        <row r="236">
          <cell r="A236" t="str">
            <v>Spa at Home</v>
          </cell>
        </row>
        <row r="236">
          <cell r="C236" t="str">
            <v>App or marketplace platform</v>
          </cell>
        </row>
        <row r="237">
          <cell r="A237" t="str">
            <v>Spa at Home</v>
          </cell>
        </row>
        <row r="237">
          <cell r="C237" t="str">
            <v>Listings or directory</v>
          </cell>
        </row>
        <row r="238">
          <cell r="A238" t="str">
            <v>Spa at Home</v>
          </cell>
        </row>
        <row r="238">
          <cell r="C238" t="str">
            <v>Organized company</v>
          </cell>
        </row>
        <row r="239">
          <cell r="A239" t="str">
            <v>Spa at Home</v>
          </cell>
        </row>
        <row r="239">
          <cell r="C239" t="str">
            <v>Organized company</v>
          </cell>
        </row>
        <row r="240">
          <cell r="A240" t="str">
            <v>Spa at Home</v>
          </cell>
        </row>
        <row r="240">
          <cell r="C240" t="str">
            <v>Organized company</v>
          </cell>
        </row>
        <row r="241">
          <cell r="A241" t="str">
            <v>Physiotherapy</v>
          </cell>
        </row>
        <row r="241">
          <cell r="C241" t="str">
            <v>Organized clinic</v>
          </cell>
        </row>
        <row r="242">
          <cell r="A242" t="str">
            <v>Physiotherapy</v>
          </cell>
        </row>
        <row r="242">
          <cell r="C242" t="str">
            <v>Organized clinic</v>
          </cell>
        </row>
        <row r="243">
          <cell r="A243" t="str">
            <v>Physiotherapy</v>
          </cell>
        </row>
        <row r="243">
          <cell r="C243" t="str">
            <v>Organized clinic</v>
          </cell>
        </row>
        <row r="244">
          <cell r="A244" t="str">
            <v>Physiotherapy</v>
          </cell>
        </row>
        <row r="244">
          <cell r="C244" t="str">
            <v>App or marketplace platform</v>
          </cell>
        </row>
        <row r="245">
          <cell r="A245" t="str">
            <v>Physiotherapy</v>
          </cell>
        </row>
        <row r="245">
          <cell r="C245" t="str">
            <v>Organized home-healthcare company</v>
          </cell>
        </row>
        <row r="246">
          <cell r="A246" t="str">
            <v>Handyman</v>
          </cell>
        </row>
        <row r="246">
          <cell r="C246" t="str">
            <v>Organized company</v>
          </cell>
        </row>
        <row r="247">
          <cell r="A247" t="str">
            <v>Handyman</v>
          </cell>
        </row>
        <row r="247">
          <cell r="C247" t="str">
            <v>App or marketplace platform</v>
          </cell>
        </row>
        <row r="248">
          <cell r="A248" t="str">
            <v>Handyman</v>
          </cell>
        </row>
        <row r="248">
          <cell r="C248" t="str">
            <v>App or marketplace platform</v>
          </cell>
        </row>
        <row r="249">
          <cell r="A249" t="str">
            <v>Handyman</v>
          </cell>
        </row>
        <row r="249">
          <cell r="C249" t="str">
            <v>App or marketplace platform</v>
          </cell>
        </row>
        <row r="250">
          <cell r="A250" t="str">
            <v>Handyman</v>
          </cell>
        </row>
        <row r="250">
          <cell r="C250" t="str">
            <v>Organized company</v>
          </cell>
        </row>
        <row r="251">
          <cell r="A251" t="str">
            <v>Handyman</v>
          </cell>
        </row>
        <row r="251">
          <cell r="C251" t="str">
            <v>Organized company</v>
          </cell>
        </row>
        <row r="252">
          <cell r="A252" t="str">
            <v>Handyman</v>
          </cell>
        </row>
        <row r="252">
          <cell r="C252" t="str">
            <v>Listings or directory</v>
          </cell>
        </row>
        <row r="253">
          <cell r="A253" t="str">
            <v>Handyman</v>
          </cell>
        </row>
        <row r="253">
          <cell r="C253" t="str">
            <v>Listings or directory</v>
          </cell>
        </row>
        <row r="254">
          <cell r="A254" t="str">
            <v>Massage Therapy</v>
          </cell>
        </row>
        <row r="254">
          <cell r="C254" t="str">
            <v>Listings or directory</v>
          </cell>
        </row>
        <row r="255">
          <cell r="A255" t="str">
            <v>Massage Therapy</v>
          </cell>
        </row>
        <row r="255">
          <cell r="C255" t="str">
            <v>Organized company</v>
          </cell>
        </row>
        <row r="256">
          <cell r="A256" t="str">
            <v>Massage Therapy</v>
          </cell>
        </row>
        <row r="256">
          <cell r="C256" t="str">
            <v>Organized company</v>
          </cell>
        </row>
        <row r="257">
          <cell r="A257" t="str">
            <v>Massage Therapy</v>
          </cell>
        </row>
        <row r="257">
          <cell r="C257" t="str">
            <v>Organized company</v>
          </cell>
        </row>
        <row r="258">
          <cell r="A258" t="str">
            <v>Water Tank Cleaning</v>
          </cell>
        </row>
        <row r="258">
          <cell r="C258" t="str">
            <v>Organized company</v>
          </cell>
        </row>
        <row r="259">
          <cell r="A259" t="str">
            <v>Water Tank Cleaning</v>
          </cell>
        </row>
        <row r="259">
          <cell r="C259" t="str">
            <v>Organized company</v>
          </cell>
        </row>
        <row r="260">
          <cell r="A260" t="str">
            <v>Water Tank Cleaning</v>
          </cell>
        </row>
        <row r="260">
          <cell r="C260" t="str">
            <v>App or marketplace platform</v>
          </cell>
        </row>
        <row r="261">
          <cell r="A261" t="str">
            <v>Water Tank Cleaning</v>
          </cell>
        </row>
        <row r="261">
          <cell r="C261" t="str">
            <v>Organized company</v>
          </cell>
        </row>
        <row r="262">
          <cell r="A262" t="str">
            <v>Water Tank Cleaning</v>
          </cell>
        </row>
        <row r="262">
          <cell r="C262" t="str">
            <v>Organized company</v>
          </cell>
        </row>
        <row r="263">
          <cell r="A263" t="str">
            <v>Water Tank Cleaning</v>
          </cell>
        </row>
        <row r="263">
          <cell r="C263" t="str">
            <v>App or marketplace platform</v>
          </cell>
        </row>
        <row r="264">
          <cell r="A264" t="str">
            <v>Water Tank Cleaning</v>
          </cell>
        </row>
        <row r="264">
          <cell r="C264" t="str">
            <v>Organized company</v>
          </cell>
        </row>
        <row r="265">
          <cell r="A265" t="str">
            <v>Water Tank Cleaning</v>
          </cell>
        </row>
        <row r="265">
          <cell r="C265" t="str">
            <v>Organized company</v>
          </cell>
        </row>
        <row r="266">
          <cell r="A266" t="str">
            <v>Water Tank Cleaning</v>
          </cell>
        </row>
        <row r="266">
          <cell r="C266" t="str">
            <v>Organized company</v>
          </cell>
        </row>
        <row r="267">
          <cell r="A267" t="str">
            <v>Water Tank Cleaning</v>
          </cell>
        </row>
        <row r="267">
          <cell r="C267" t="str">
            <v>Organized company</v>
          </cell>
        </row>
        <row r="268">
          <cell r="A268" t="str">
            <v>Aluminium Fabrication</v>
          </cell>
        </row>
        <row r="268">
          <cell r="C268" t="str">
            <v>App or marketplace platform</v>
          </cell>
        </row>
        <row r="269">
          <cell r="A269" t="str">
            <v>Aluminium Fabrication</v>
          </cell>
        </row>
        <row r="269">
          <cell r="C269" t="str">
            <v>Listings or directory</v>
          </cell>
        </row>
        <row r="270">
          <cell r="A270" t="str">
            <v>Aluminium Fabrication</v>
          </cell>
        </row>
        <row r="270">
          <cell r="C270" t="str">
            <v>Organized company</v>
          </cell>
        </row>
        <row r="271">
          <cell r="A271" t="str">
            <v>Aluminium Fabrication</v>
          </cell>
        </row>
        <row r="271">
          <cell r="C271" t="str">
            <v>Organized company</v>
          </cell>
        </row>
        <row r="272">
          <cell r="A272" t="str">
            <v>Aluminium Fabrication</v>
          </cell>
        </row>
        <row r="272">
          <cell r="C272" t="str">
            <v>Organized company</v>
          </cell>
        </row>
        <row r="273">
          <cell r="A273" t="str">
            <v>Aluminium Fabrication</v>
          </cell>
        </row>
        <row r="273">
          <cell r="C273" t="str">
            <v>Organized company</v>
          </cell>
        </row>
        <row r="274">
          <cell r="A274" t="str">
            <v>Aluminium Fabrication</v>
          </cell>
        </row>
        <row r="274">
          <cell r="C274" t="str">
            <v>Organized company</v>
          </cell>
        </row>
        <row r="275">
          <cell r="A275" t="str">
            <v>Aluminium Fabrication</v>
          </cell>
        </row>
        <row r="275">
          <cell r="C275" t="str">
            <v>App or marketplace platform</v>
          </cell>
        </row>
        <row r="276">
          <cell r="A276" t="str">
            <v>Aluminium Fabrication</v>
          </cell>
        </row>
        <row r="276">
          <cell r="C276" t="str">
            <v>App or marketplace platform</v>
          </cell>
        </row>
        <row r="277">
          <cell r="A277" t="str">
            <v>False Ceiling</v>
          </cell>
        </row>
        <row r="277">
          <cell r="C277" t="str">
            <v>App or marketplace platform</v>
          </cell>
        </row>
        <row r="278">
          <cell r="A278" t="str">
            <v>False Ceiling</v>
          </cell>
        </row>
        <row r="278">
          <cell r="C278" t="str">
            <v>Organized company</v>
          </cell>
        </row>
        <row r="279">
          <cell r="A279" t="str">
            <v>False Ceiling</v>
          </cell>
        </row>
        <row r="279">
          <cell r="C279" t="str">
            <v>Organized company</v>
          </cell>
        </row>
        <row r="280">
          <cell r="A280" t="str">
            <v>False Ceiling</v>
          </cell>
        </row>
        <row r="280">
          <cell r="C280" t="str">
            <v>App or marketplace platform</v>
          </cell>
        </row>
        <row r="281">
          <cell r="A281" t="str">
            <v>False Ceiling</v>
          </cell>
        </row>
        <row r="281">
          <cell r="C281" t="str">
            <v>Organized company</v>
          </cell>
        </row>
        <row r="282">
          <cell r="A282" t="str">
            <v>False Ceiling</v>
          </cell>
        </row>
        <row r="282">
          <cell r="C282" t="str">
            <v>App or marketplace platform</v>
          </cell>
        </row>
        <row r="283">
          <cell r="A283" t="str">
            <v>False Ceiling</v>
          </cell>
        </row>
        <row r="283">
          <cell r="C283" t="str">
            <v>App or marketplace platform</v>
          </cell>
        </row>
        <row r="284">
          <cell r="A284" t="str">
            <v>Computer Repair</v>
          </cell>
        </row>
        <row r="284">
          <cell r="C284" t="str">
            <v>App or marketplace platform</v>
          </cell>
        </row>
        <row r="285">
          <cell r="A285" t="str">
            <v>Computer Repair</v>
          </cell>
        </row>
        <row r="285">
          <cell r="C285" t="str">
            <v>App or marketplace platform</v>
          </cell>
        </row>
        <row r="286">
          <cell r="A286" t="str">
            <v>Computer Repair</v>
          </cell>
        </row>
        <row r="286">
          <cell r="C286" t="str">
            <v>Organized company</v>
          </cell>
        </row>
        <row r="287">
          <cell r="A287" t="str">
            <v>Computer Repair</v>
          </cell>
        </row>
        <row r="287">
          <cell r="C287" t="str">
            <v>App or marketplace platform</v>
          </cell>
        </row>
        <row r="288">
          <cell r="A288" t="str">
            <v>Computer Repair</v>
          </cell>
        </row>
        <row r="288">
          <cell r="C288" t="str">
            <v>App or marketplace platform</v>
          </cell>
        </row>
        <row r="289">
          <cell r="A289" t="str">
            <v>Computer Repair</v>
          </cell>
        </row>
        <row r="289">
          <cell r="C289" t="str">
            <v>Organized company</v>
          </cell>
        </row>
        <row r="290">
          <cell r="A290" t="str">
            <v>Computer Repair</v>
          </cell>
        </row>
        <row r="290">
          <cell r="C290" t="str">
            <v>App or marketplace platform</v>
          </cell>
        </row>
        <row r="291">
          <cell r="A291" t="str">
            <v>Computer Repair</v>
          </cell>
        </row>
        <row r="291">
          <cell r="C291" t="str">
            <v>App or marketplace platform</v>
          </cell>
        </row>
        <row r="292">
          <cell r="A292" t="str">
            <v>Computer Repair</v>
          </cell>
        </row>
        <row r="292">
          <cell r="C292" t="str">
            <v>App or marketplace platform</v>
          </cell>
        </row>
        <row r="293">
          <cell r="A293" t="str">
            <v>Geyser Repair</v>
          </cell>
        </row>
        <row r="293">
          <cell r="C293" t="str">
            <v>App or marketplace platform</v>
          </cell>
        </row>
        <row r="294">
          <cell r="A294" t="str">
            <v>Geyser Repair</v>
          </cell>
        </row>
        <row r="294">
          <cell r="C294" t="str">
            <v>App or marketplace platform</v>
          </cell>
        </row>
        <row r="295">
          <cell r="A295" t="str">
            <v>Geyser Repair</v>
          </cell>
        </row>
        <row r="295">
          <cell r="C295" t="str">
            <v>App or marketplace platform</v>
          </cell>
        </row>
        <row r="296">
          <cell r="A296" t="str">
            <v>Geyser Repair</v>
          </cell>
        </row>
        <row r="296">
          <cell r="C296" t="str">
            <v>Brand-authorized service centre</v>
          </cell>
        </row>
        <row r="297">
          <cell r="A297" t="str">
            <v>Geyser Repair</v>
          </cell>
        </row>
        <row r="297">
          <cell r="C297" t="str">
            <v>Organized company</v>
          </cell>
        </row>
        <row r="298">
          <cell r="A298" t="str">
            <v>Chimney Repair</v>
          </cell>
        </row>
        <row r="298">
          <cell r="C298" t="str">
            <v>App or marketplace platform</v>
          </cell>
        </row>
        <row r="299">
          <cell r="A299" t="str">
            <v>Chimney Repair</v>
          </cell>
        </row>
        <row r="299">
          <cell r="C299" t="str">
            <v>App or marketplace platform</v>
          </cell>
        </row>
        <row r="300">
          <cell r="A300" t="str">
            <v>Chimney Repair</v>
          </cell>
        </row>
        <row r="300">
          <cell r="C300" t="str">
            <v>Brand-authorized service centre</v>
          </cell>
        </row>
        <row r="301">
          <cell r="A301" t="str">
            <v>Chimney Repair</v>
          </cell>
        </row>
        <row r="301">
          <cell r="C301" t="str">
            <v>Organized company</v>
          </cell>
        </row>
        <row r="302">
          <cell r="A302" t="str">
            <v>Tree Cutting and Pruning</v>
          </cell>
        </row>
        <row r="302">
          <cell r="C302" t="str">
            <v>Organized company</v>
          </cell>
        </row>
        <row r="303">
          <cell r="A303" t="str">
            <v>Tree Cutting and Pruning</v>
          </cell>
        </row>
        <row r="303">
          <cell r="C303" t="str">
            <v>App or marketplace platform</v>
          </cell>
        </row>
        <row r="304">
          <cell r="A304" t="str">
            <v>Tree Cutting and Pruning</v>
          </cell>
        </row>
        <row r="304">
          <cell r="C304" t="str">
            <v>Organized company</v>
          </cell>
        </row>
        <row r="305">
          <cell r="A305" t="str">
            <v>Septic Tank Cleaning</v>
          </cell>
        </row>
        <row r="305">
          <cell r="C305" t="str">
            <v>Organized company</v>
          </cell>
        </row>
        <row r="306">
          <cell r="A306" t="str">
            <v>Septic Tank Cleaning</v>
          </cell>
        </row>
        <row r="306">
          <cell r="C306" t="str">
            <v>Organized company</v>
          </cell>
        </row>
        <row r="307">
          <cell r="A307" t="str">
            <v>Septic Tank Cleaning</v>
          </cell>
        </row>
        <row r="307">
          <cell r="C307" t="str">
            <v>Organized company</v>
          </cell>
        </row>
        <row r="308">
          <cell r="A308" t="str">
            <v>Pet Grooming</v>
          </cell>
        </row>
        <row r="308">
          <cell r="C308" t="str">
            <v>App or marketplace platform</v>
          </cell>
        </row>
        <row r="309">
          <cell r="A309" t="str">
            <v>Pet Grooming</v>
          </cell>
        </row>
        <row r="309">
          <cell r="C309" t="str">
            <v>Organized company</v>
          </cell>
        </row>
        <row r="310">
          <cell r="A310" t="str">
            <v>Pet Grooming</v>
          </cell>
        </row>
        <row r="310">
          <cell r="C310" t="str">
            <v>Organized company</v>
          </cell>
        </row>
        <row r="311">
          <cell r="A311" t="str">
            <v>Pet Grooming</v>
          </cell>
        </row>
        <row r="311">
          <cell r="C311" t="str">
            <v>Organized company</v>
          </cell>
        </row>
        <row r="312">
          <cell r="A312" t="str">
            <v>Pet Grooming</v>
          </cell>
        </row>
        <row r="312">
          <cell r="C312" t="str">
            <v>App or marketplace platform</v>
          </cell>
        </row>
        <row r="313">
          <cell r="A313" t="str">
            <v>Lift or Elevator Repair</v>
          </cell>
        </row>
        <row r="313">
          <cell r="C313" t="str">
            <v>Organized company</v>
          </cell>
        </row>
        <row r="314">
          <cell r="A314" t="str">
            <v>Lift or Elevator Repair</v>
          </cell>
        </row>
        <row r="314">
          <cell r="C314" t="str">
            <v>Brand-authorized service centre</v>
          </cell>
        </row>
        <row r="315">
          <cell r="A315" t="str">
            <v>Lift or Elevator Repair</v>
          </cell>
        </row>
        <row r="315">
          <cell r="C315" t="str">
            <v>Individual or informal (Facebook)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abSelected="1" workbookViewId="0">
      <selection activeCell="L18" sqref="L18"/>
    </sheetView>
  </sheetViews>
  <sheetFormatPr defaultColWidth="9" defaultRowHeight="16.8"/>
  <cols>
    <col min="2" max="2" width="19.53125" customWidth="1"/>
    <col min="10" max="10" width="10.6796875" customWidth="1"/>
  </cols>
  <sheetData>
    <row r="1" ht="16.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6.5" customHeight="1" spans="1:10">
      <c r="A2" s="2">
        <v>1</v>
      </c>
      <c r="B2" s="2" t="s">
        <v>10</v>
      </c>
      <c r="C2" s="2">
        <f>COUNTIF('[1]Comparitive Analysis'!$A$2:$A$315,B2)</f>
        <v>14</v>
      </c>
      <c r="D2" s="3" t="s">
        <v>11</v>
      </c>
      <c r="E2" s="4" t="s">
        <v>11</v>
      </c>
      <c r="F2" s="2">
        <f t="shared" ref="F2:F41" si="0">RANK(C2,$C$2:$C$41,0)</f>
        <v>4</v>
      </c>
      <c r="G2" s="5">
        <f>(COUNTIFS('[1]Comparitive Analysis'!$A$2:$A$315,B2,'[1]Comparitive Analysis'!$C$2:$C$315,"Organized company")+COUNTIFS('[1]Comparitive Analysis'!$A$2:$A$315,B2,'[1]Comparitive Analysis'!$C$2:$C$315,"Brand-authorized service centre")+COUNTIFS('[1]Comparitive Analysis'!$A$2:$A$315,B2,'[1]Comparitive Analysis'!$C$2:$C$315,"Organized clinic")+COUNTIFS('[1]Comparitive Analysis'!$A$2:$A$315,B2,'[1]Comparitive Analysis'!$C$2:$C$315,"Organized construction company")+COUNTIFS('[1]Comparitive Analysis'!$A$2:$A$315,B2,'[1]Comparitive Analysis'!$C$2:$C$315,"Organized home-healthcare company"))/C2</f>
        <v>0.5</v>
      </c>
      <c r="H2" s="5">
        <f>COUNTIFS('[1]Comparitive Analysis'!$A$2:$A$315,B2,'[1]Comparitive Analysis'!$C$2:$C$315,"App or marketplace platform")/C2</f>
        <v>0.428571428571429</v>
      </c>
      <c r="I2" s="5">
        <f t="shared" ref="I2:I41" si="1">1-G2-H2</f>
        <v>0.0714285714285715</v>
      </c>
      <c r="J2" s="6" t="str">
        <f t="shared" ref="J2:J41" si="2">IF(C2&gt;=AVERAGE($C$2:$C$41)*1.5,"Well-served",IF(C2&lt;AVERAGE($C$2:$C$41)*0.75,"Limited","Sufficient"))</f>
        <v>Well-served</v>
      </c>
    </row>
    <row r="3" ht="16.5" customHeight="1" spans="1:10">
      <c r="A3" s="2">
        <v>2</v>
      </c>
      <c r="B3" s="2" t="s">
        <v>12</v>
      </c>
      <c r="C3" s="2">
        <f>COUNTIF('[1]Comparitive Analysis'!$A$2:$A$315,B3)</f>
        <v>11</v>
      </c>
      <c r="D3" s="4" t="s">
        <v>13</v>
      </c>
      <c r="E3" s="4" t="s">
        <v>11</v>
      </c>
      <c r="F3" s="2">
        <f t="shared" si="0"/>
        <v>6</v>
      </c>
      <c r="G3" s="5">
        <f>(COUNTIFS('[1]Comparitive Analysis'!$A$2:$A$315,B3,'[1]Comparitive Analysis'!$C$2:$C$315,"Organized company")+COUNTIFS('[1]Comparitive Analysis'!$A$2:$A$315,B3,'[1]Comparitive Analysis'!$C$2:$C$315,"Brand-authorized service centre")+COUNTIFS('[1]Comparitive Analysis'!$A$2:$A$315,B3,'[1]Comparitive Analysis'!$C$2:$C$315,"Organized clinic")+COUNTIFS('[1]Comparitive Analysis'!$A$2:$A$315,B3,'[1]Comparitive Analysis'!$C$2:$C$315,"Organized construction company")+COUNTIFS('[1]Comparitive Analysis'!$A$2:$A$315,B3,'[1]Comparitive Analysis'!$C$2:$C$315,"Organized home-healthcare company"))/C3</f>
        <v>0.727272727272727</v>
      </c>
      <c r="H3" s="5">
        <f>COUNTIFS('[1]Comparitive Analysis'!$A$2:$A$315,B3,'[1]Comparitive Analysis'!$C$2:$C$315,"App or marketplace platform")/C3</f>
        <v>0.181818181818182</v>
      </c>
      <c r="I3" s="5">
        <f t="shared" si="1"/>
        <v>0.0909090909090909</v>
      </c>
      <c r="J3" s="7" t="str">
        <f t="shared" si="2"/>
        <v>Sufficient</v>
      </c>
    </row>
    <row r="4" ht="16.5" customHeight="1" spans="1:10">
      <c r="A4" s="2">
        <v>3</v>
      </c>
      <c r="B4" s="2" t="s">
        <v>14</v>
      </c>
      <c r="C4" s="2">
        <f>COUNTIF('[1]Comparitive Analysis'!$A$2:$A$315,B4)</f>
        <v>6</v>
      </c>
      <c r="D4" s="3" t="s">
        <v>11</v>
      </c>
      <c r="E4" s="8" t="s">
        <v>15</v>
      </c>
      <c r="F4" s="2">
        <f t="shared" si="0"/>
        <v>23</v>
      </c>
      <c r="G4" s="5">
        <f>(COUNTIFS('[1]Comparitive Analysis'!$A$2:$A$315,B4,'[1]Comparitive Analysis'!$C$2:$C$315,"Organized company")+COUNTIFS('[1]Comparitive Analysis'!$A$2:$A$315,B4,'[1]Comparitive Analysis'!$C$2:$C$315,"Brand-authorized service centre")+COUNTIFS('[1]Comparitive Analysis'!$A$2:$A$315,B4,'[1]Comparitive Analysis'!$C$2:$C$315,"Organized clinic")+COUNTIFS('[1]Comparitive Analysis'!$A$2:$A$315,B4,'[1]Comparitive Analysis'!$C$2:$C$315,"Organized construction company")+COUNTIFS('[1]Comparitive Analysis'!$A$2:$A$315,B4,'[1]Comparitive Analysis'!$C$2:$C$315,"Organized home-healthcare company"))/C4</f>
        <v>0.5</v>
      </c>
      <c r="H4" s="5">
        <f>COUNTIFS('[1]Comparitive Analysis'!$A$2:$A$315,B4,'[1]Comparitive Analysis'!$C$2:$C$315,"App or marketplace platform")/C4</f>
        <v>0.5</v>
      </c>
      <c r="I4" s="5">
        <f t="shared" si="1"/>
        <v>0</v>
      </c>
      <c r="J4" s="7" t="str">
        <f t="shared" si="2"/>
        <v>Sufficient</v>
      </c>
    </row>
    <row r="5" ht="16.5" customHeight="1" spans="1:10">
      <c r="A5" s="2">
        <v>4</v>
      </c>
      <c r="B5" s="2" t="s">
        <v>16</v>
      </c>
      <c r="C5" s="2">
        <f>COUNTIF('[1]Comparitive Analysis'!$A$2:$A$315,B5)</f>
        <v>20</v>
      </c>
      <c r="D5" s="3" t="s">
        <v>11</v>
      </c>
      <c r="E5" s="4" t="s">
        <v>11</v>
      </c>
      <c r="F5" s="2">
        <f t="shared" si="0"/>
        <v>1</v>
      </c>
      <c r="G5" s="5">
        <f>(COUNTIFS('[1]Comparitive Analysis'!$A$2:$A$315,B5,'[1]Comparitive Analysis'!$C$2:$C$315,"Organized company")+COUNTIFS('[1]Comparitive Analysis'!$A$2:$A$315,B5,'[1]Comparitive Analysis'!$C$2:$C$315,"Brand-authorized service centre")+COUNTIFS('[1]Comparitive Analysis'!$A$2:$A$315,B5,'[1]Comparitive Analysis'!$C$2:$C$315,"Organized clinic")+COUNTIFS('[1]Comparitive Analysis'!$A$2:$A$315,B5,'[1]Comparitive Analysis'!$C$2:$C$315,"Organized construction company")+COUNTIFS('[1]Comparitive Analysis'!$A$2:$A$315,B5,'[1]Comparitive Analysis'!$C$2:$C$315,"Organized home-healthcare company"))/C5</f>
        <v>0.45</v>
      </c>
      <c r="H5" s="5">
        <f>COUNTIFS('[1]Comparitive Analysis'!$A$2:$A$315,B5,'[1]Comparitive Analysis'!$C$2:$C$315,"App or marketplace platform")/C5</f>
        <v>0.5</v>
      </c>
      <c r="I5" s="5">
        <f t="shared" si="1"/>
        <v>0.05</v>
      </c>
      <c r="J5" s="6" t="str">
        <f t="shared" si="2"/>
        <v>Well-served</v>
      </c>
    </row>
    <row r="6" ht="16.5" customHeight="1" spans="1:10">
      <c r="A6" s="2">
        <v>5</v>
      </c>
      <c r="B6" s="2" t="s">
        <v>17</v>
      </c>
      <c r="C6" s="2">
        <f>COUNTIF('[1]Comparitive Analysis'!$A$2:$A$315,B6)</f>
        <v>19</v>
      </c>
      <c r="D6" s="3" t="s">
        <v>11</v>
      </c>
      <c r="E6" s="4" t="s">
        <v>11</v>
      </c>
      <c r="F6" s="2">
        <f t="shared" si="0"/>
        <v>2</v>
      </c>
      <c r="G6" s="5">
        <f>(COUNTIFS('[1]Comparitive Analysis'!$A$2:$A$315,B6,'[1]Comparitive Analysis'!$C$2:$C$315,"Organized company")+COUNTIFS('[1]Comparitive Analysis'!$A$2:$A$315,B6,'[1]Comparitive Analysis'!$C$2:$C$315,"Brand-authorized service centre")+COUNTIFS('[1]Comparitive Analysis'!$A$2:$A$315,B6,'[1]Comparitive Analysis'!$C$2:$C$315,"Organized clinic")+COUNTIFS('[1]Comparitive Analysis'!$A$2:$A$315,B6,'[1]Comparitive Analysis'!$C$2:$C$315,"Organized construction company")+COUNTIFS('[1]Comparitive Analysis'!$A$2:$A$315,B6,'[1]Comparitive Analysis'!$C$2:$C$315,"Organized home-healthcare company"))/C6</f>
        <v>0.421052631578947</v>
      </c>
      <c r="H6" s="5">
        <f>COUNTIFS('[1]Comparitive Analysis'!$A$2:$A$315,B6,'[1]Comparitive Analysis'!$C$2:$C$315,"App or marketplace platform")/C6</f>
        <v>0.526315789473684</v>
      </c>
      <c r="I6" s="5">
        <f t="shared" si="1"/>
        <v>0.0526315789473685</v>
      </c>
      <c r="J6" s="6" t="str">
        <f t="shared" si="2"/>
        <v>Well-served</v>
      </c>
    </row>
    <row r="7" ht="16.5" customHeight="1" spans="1:10">
      <c r="A7" s="2">
        <v>6</v>
      </c>
      <c r="B7" s="2" t="s">
        <v>18</v>
      </c>
      <c r="C7" s="2">
        <f>COUNTIF('[1]Comparitive Analysis'!$A$2:$A$315,B7)</f>
        <v>11</v>
      </c>
      <c r="D7" s="3" t="s">
        <v>11</v>
      </c>
      <c r="E7" s="4" t="s">
        <v>11</v>
      </c>
      <c r="F7" s="2">
        <f t="shared" si="0"/>
        <v>6</v>
      </c>
      <c r="G7" s="5">
        <f>(COUNTIFS('[1]Comparitive Analysis'!$A$2:$A$315,B7,'[1]Comparitive Analysis'!$C$2:$C$315,"Organized company")+COUNTIFS('[1]Comparitive Analysis'!$A$2:$A$315,B7,'[1]Comparitive Analysis'!$C$2:$C$315,"Brand-authorized service centre")+COUNTIFS('[1]Comparitive Analysis'!$A$2:$A$315,B7,'[1]Comparitive Analysis'!$C$2:$C$315,"Organized clinic")+COUNTIFS('[1]Comparitive Analysis'!$A$2:$A$315,B7,'[1]Comparitive Analysis'!$C$2:$C$315,"Organized construction company")+COUNTIFS('[1]Comparitive Analysis'!$A$2:$A$315,B7,'[1]Comparitive Analysis'!$C$2:$C$315,"Organized home-healthcare company"))/C7</f>
        <v>0.363636363636364</v>
      </c>
      <c r="H7" s="5">
        <f>COUNTIFS('[1]Comparitive Analysis'!$A$2:$A$315,B7,'[1]Comparitive Analysis'!$C$2:$C$315,"App or marketplace platform")/C7</f>
        <v>0.545454545454545</v>
      </c>
      <c r="I7" s="5">
        <f t="shared" si="1"/>
        <v>0.0909090909090909</v>
      </c>
      <c r="J7" s="7" t="str">
        <f t="shared" si="2"/>
        <v>Sufficient</v>
      </c>
    </row>
    <row r="8" ht="16.5" customHeight="1" spans="1:10">
      <c r="A8" s="2">
        <v>7</v>
      </c>
      <c r="B8" s="2" t="s">
        <v>19</v>
      </c>
      <c r="C8" s="2">
        <f>COUNTIF('[1]Comparitive Analysis'!$A$2:$A$315,B8)</f>
        <v>8</v>
      </c>
      <c r="D8" s="3" t="s">
        <v>11</v>
      </c>
      <c r="E8" s="8" t="s">
        <v>15</v>
      </c>
      <c r="F8" s="2">
        <f t="shared" si="0"/>
        <v>19</v>
      </c>
      <c r="G8" s="5">
        <f>(COUNTIFS('[1]Comparitive Analysis'!$A$2:$A$315,B8,'[1]Comparitive Analysis'!$C$2:$C$315,"Organized company")+COUNTIFS('[1]Comparitive Analysis'!$A$2:$A$315,B8,'[1]Comparitive Analysis'!$C$2:$C$315,"Brand-authorized service centre")+COUNTIFS('[1]Comparitive Analysis'!$A$2:$A$315,B8,'[1]Comparitive Analysis'!$C$2:$C$315,"Organized clinic")+COUNTIFS('[1]Comparitive Analysis'!$A$2:$A$315,B8,'[1]Comparitive Analysis'!$C$2:$C$315,"Organized construction company")+COUNTIFS('[1]Comparitive Analysis'!$A$2:$A$315,B8,'[1]Comparitive Analysis'!$C$2:$C$315,"Organized home-healthcare company"))/C8</f>
        <v>0.5</v>
      </c>
      <c r="H8" s="5">
        <f>COUNTIFS('[1]Comparitive Analysis'!$A$2:$A$315,B8,'[1]Comparitive Analysis'!$C$2:$C$315,"App or marketplace platform")/C8</f>
        <v>0.5</v>
      </c>
      <c r="I8" s="5">
        <f t="shared" si="1"/>
        <v>0</v>
      </c>
      <c r="J8" s="7" t="str">
        <f t="shared" si="2"/>
        <v>Sufficient</v>
      </c>
    </row>
    <row r="9" ht="16.5" customHeight="1" spans="1:10">
      <c r="A9" s="2">
        <v>8</v>
      </c>
      <c r="B9" s="2" t="s">
        <v>20</v>
      </c>
      <c r="C9" s="2">
        <f>COUNTIF('[1]Comparitive Analysis'!$A$2:$A$315,B9)</f>
        <v>4</v>
      </c>
      <c r="D9" s="8" t="s">
        <v>15</v>
      </c>
      <c r="E9" s="3" t="s">
        <v>13</v>
      </c>
      <c r="F9" s="2">
        <f t="shared" si="0"/>
        <v>29</v>
      </c>
      <c r="G9" s="5">
        <f>(COUNTIFS('[1]Comparitive Analysis'!$A$2:$A$315,B9,'[1]Comparitive Analysis'!$C$2:$C$315,"Organized company")+COUNTIFS('[1]Comparitive Analysis'!$A$2:$A$315,B9,'[1]Comparitive Analysis'!$C$2:$C$315,"Brand-authorized service centre")+COUNTIFS('[1]Comparitive Analysis'!$A$2:$A$315,B9,'[1]Comparitive Analysis'!$C$2:$C$315,"Organized clinic")+COUNTIFS('[1]Comparitive Analysis'!$A$2:$A$315,B9,'[1]Comparitive Analysis'!$C$2:$C$315,"Organized construction company")+COUNTIFS('[1]Comparitive Analysis'!$A$2:$A$315,B9,'[1]Comparitive Analysis'!$C$2:$C$315,"Organized home-healthcare company"))/C9</f>
        <v>0.5</v>
      </c>
      <c r="H9" s="5">
        <f>COUNTIFS('[1]Comparitive Analysis'!$A$2:$A$315,B9,'[1]Comparitive Analysis'!$C$2:$C$315,"App or marketplace platform")/C9</f>
        <v>0.5</v>
      </c>
      <c r="I9" s="5">
        <f t="shared" si="1"/>
        <v>0</v>
      </c>
      <c r="J9" s="9" t="str">
        <f t="shared" si="2"/>
        <v>Limited</v>
      </c>
    </row>
    <row r="10" ht="16.5" customHeight="1" spans="1:10">
      <c r="A10" s="2">
        <v>9</v>
      </c>
      <c r="B10" s="2" t="s">
        <v>21</v>
      </c>
      <c r="C10" s="2">
        <f>COUNTIF('[1]Comparitive Analysis'!$A$2:$A$315,B10)</f>
        <v>14</v>
      </c>
      <c r="D10" s="3" t="s">
        <v>11</v>
      </c>
      <c r="E10" s="4" t="s">
        <v>11</v>
      </c>
      <c r="F10" s="2">
        <f t="shared" si="0"/>
        <v>4</v>
      </c>
      <c r="G10" s="5">
        <f>(COUNTIFS('[1]Comparitive Analysis'!$A$2:$A$315,B10,'[1]Comparitive Analysis'!$C$2:$C$315,"Organized company")+COUNTIFS('[1]Comparitive Analysis'!$A$2:$A$315,B10,'[1]Comparitive Analysis'!$C$2:$C$315,"Brand-authorized service centre")+COUNTIFS('[1]Comparitive Analysis'!$A$2:$A$315,B10,'[1]Comparitive Analysis'!$C$2:$C$315,"Organized clinic")+COUNTIFS('[1]Comparitive Analysis'!$A$2:$A$315,B10,'[1]Comparitive Analysis'!$C$2:$C$315,"Organized construction company")+COUNTIFS('[1]Comparitive Analysis'!$A$2:$A$315,B10,'[1]Comparitive Analysis'!$C$2:$C$315,"Organized home-healthcare company"))/C10</f>
        <v>0.428571428571429</v>
      </c>
      <c r="H10" s="5">
        <f>COUNTIFS('[1]Comparitive Analysis'!$A$2:$A$315,B10,'[1]Comparitive Analysis'!$C$2:$C$315,"App or marketplace platform")/C10</f>
        <v>0.571428571428571</v>
      </c>
      <c r="I10" s="5">
        <f t="shared" si="1"/>
        <v>0</v>
      </c>
      <c r="J10" s="6" t="str">
        <f t="shared" si="2"/>
        <v>Well-served</v>
      </c>
    </row>
    <row r="11" ht="16.5" customHeight="1" spans="1:10">
      <c r="A11" s="2">
        <v>10</v>
      </c>
      <c r="B11" s="2" t="s">
        <v>22</v>
      </c>
      <c r="C11" s="2">
        <f>COUNTIF('[1]Comparitive Analysis'!$A$2:$A$315,B11)</f>
        <v>17</v>
      </c>
      <c r="D11" s="3" t="s">
        <v>11</v>
      </c>
      <c r="E11" s="4" t="s">
        <v>11</v>
      </c>
      <c r="F11" s="2">
        <f t="shared" si="0"/>
        <v>3</v>
      </c>
      <c r="G11" s="5">
        <f>(COUNTIFS('[1]Comparitive Analysis'!$A$2:$A$315,B11,'[1]Comparitive Analysis'!$C$2:$C$315,"Organized company")+COUNTIFS('[1]Comparitive Analysis'!$A$2:$A$315,B11,'[1]Comparitive Analysis'!$C$2:$C$315,"Brand-authorized service centre")+COUNTIFS('[1]Comparitive Analysis'!$A$2:$A$315,B11,'[1]Comparitive Analysis'!$C$2:$C$315,"Organized clinic")+COUNTIFS('[1]Comparitive Analysis'!$A$2:$A$315,B11,'[1]Comparitive Analysis'!$C$2:$C$315,"Organized construction company")+COUNTIFS('[1]Comparitive Analysis'!$A$2:$A$315,B11,'[1]Comparitive Analysis'!$C$2:$C$315,"Organized home-healthcare company"))/C11</f>
        <v>0.588235294117647</v>
      </c>
      <c r="H11" s="5">
        <f>COUNTIFS('[1]Comparitive Analysis'!$A$2:$A$315,B11,'[1]Comparitive Analysis'!$C$2:$C$315,"App or marketplace platform")/C11</f>
        <v>0.352941176470588</v>
      </c>
      <c r="I11" s="5">
        <f t="shared" si="1"/>
        <v>0.0588235294117647</v>
      </c>
      <c r="J11" s="6" t="str">
        <f t="shared" si="2"/>
        <v>Well-served</v>
      </c>
    </row>
    <row r="12" ht="16.5" customHeight="1" spans="1:10">
      <c r="A12" s="2">
        <v>11</v>
      </c>
      <c r="B12" s="2" t="s">
        <v>23</v>
      </c>
      <c r="C12" s="2">
        <f>COUNTIF('[1]Comparitive Analysis'!$A$2:$A$315,B12)</f>
        <v>9</v>
      </c>
      <c r="D12" s="3" t="s">
        <v>11</v>
      </c>
      <c r="E12" s="4" t="s">
        <v>11</v>
      </c>
      <c r="F12" s="2">
        <f t="shared" si="0"/>
        <v>13</v>
      </c>
      <c r="G12" s="5">
        <f>(COUNTIFS('[1]Comparitive Analysis'!$A$2:$A$315,B12,'[1]Comparitive Analysis'!$C$2:$C$315,"Organized company")+COUNTIFS('[1]Comparitive Analysis'!$A$2:$A$315,B12,'[1]Comparitive Analysis'!$C$2:$C$315,"Brand-authorized service centre")+COUNTIFS('[1]Comparitive Analysis'!$A$2:$A$315,B12,'[1]Comparitive Analysis'!$C$2:$C$315,"Organized clinic")+COUNTIFS('[1]Comparitive Analysis'!$A$2:$A$315,B12,'[1]Comparitive Analysis'!$C$2:$C$315,"Organized construction company")+COUNTIFS('[1]Comparitive Analysis'!$A$2:$A$315,B12,'[1]Comparitive Analysis'!$C$2:$C$315,"Organized home-healthcare company"))/C12</f>
        <v>0.777777777777778</v>
      </c>
      <c r="H12" s="5">
        <f>COUNTIFS('[1]Comparitive Analysis'!$A$2:$A$315,B12,'[1]Comparitive Analysis'!$C$2:$C$315,"App or marketplace platform")/C12</f>
        <v>0.222222222222222</v>
      </c>
      <c r="I12" s="5">
        <f t="shared" si="1"/>
        <v>0</v>
      </c>
      <c r="J12" s="7" t="str">
        <f t="shared" si="2"/>
        <v>Sufficient</v>
      </c>
    </row>
    <row r="13" ht="16.5" customHeight="1" spans="1:10">
      <c r="A13" s="2">
        <v>12</v>
      </c>
      <c r="B13" s="2" t="s">
        <v>24</v>
      </c>
      <c r="C13" s="2">
        <f>COUNTIF('[1]Comparitive Analysis'!$A$2:$A$315,B13)</f>
        <v>2</v>
      </c>
      <c r="D13" s="8" t="s">
        <v>15</v>
      </c>
      <c r="E13" s="3" t="s">
        <v>13</v>
      </c>
      <c r="F13" s="2">
        <f t="shared" si="0"/>
        <v>38</v>
      </c>
      <c r="G13" s="5">
        <f>(COUNTIFS('[1]Comparitive Analysis'!$A$2:$A$315,B13,'[1]Comparitive Analysis'!$C$2:$C$315,"Organized company")+COUNTIFS('[1]Comparitive Analysis'!$A$2:$A$315,B13,'[1]Comparitive Analysis'!$C$2:$C$315,"Brand-authorized service centre")+COUNTIFS('[1]Comparitive Analysis'!$A$2:$A$315,B13,'[1]Comparitive Analysis'!$C$2:$C$315,"Organized clinic")+COUNTIFS('[1]Comparitive Analysis'!$A$2:$A$315,B13,'[1]Comparitive Analysis'!$C$2:$C$315,"Organized construction company")+COUNTIFS('[1]Comparitive Analysis'!$A$2:$A$315,B13,'[1]Comparitive Analysis'!$C$2:$C$315,"Organized home-healthcare company"))/C13</f>
        <v>1</v>
      </c>
      <c r="H13" s="5">
        <f>COUNTIFS('[1]Comparitive Analysis'!$A$2:$A$315,B13,'[1]Comparitive Analysis'!$C$2:$C$315,"App or marketplace platform")/C13</f>
        <v>0</v>
      </c>
      <c r="I13" s="5">
        <f t="shared" si="1"/>
        <v>0</v>
      </c>
      <c r="J13" s="9" t="str">
        <f t="shared" si="2"/>
        <v>Limited</v>
      </c>
    </row>
    <row r="14" ht="16.5" customHeight="1" spans="1:10">
      <c r="A14" s="2">
        <v>13</v>
      </c>
      <c r="B14" s="2" t="s">
        <v>25</v>
      </c>
      <c r="C14" s="2">
        <f>COUNTIF('[1]Comparitive Analysis'!$A$2:$A$315,B14)</f>
        <v>11</v>
      </c>
      <c r="D14" s="3" t="s">
        <v>11</v>
      </c>
      <c r="E14" s="4" t="s">
        <v>11</v>
      </c>
      <c r="F14" s="2">
        <f t="shared" si="0"/>
        <v>6</v>
      </c>
      <c r="G14" s="5">
        <f>(COUNTIFS('[1]Comparitive Analysis'!$A$2:$A$315,B14,'[1]Comparitive Analysis'!$C$2:$C$315,"Organized company")+COUNTIFS('[1]Comparitive Analysis'!$A$2:$A$315,B14,'[1]Comparitive Analysis'!$C$2:$C$315,"Brand-authorized service centre")+COUNTIFS('[1]Comparitive Analysis'!$A$2:$A$315,B14,'[1]Comparitive Analysis'!$C$2:$C$315,"Organized clinic")+COUNTIFS('[1]Comparitive Analysis'!$A$2:$A$315,B14,'[1]Comparitive Analysis'!$C$2:$C$315,"Organized construction company")+COUNTIFS('[1]Comparitive Analysis'!$A$2:$A$315,B14,'[1]Comparitive Analysis'!$C$2:$C$315,"Organized home-healthcare company"))/C14</f>
        <v>0.181818181818182</v>
      </c>
      <c r="H14" s="5">
        <f>COUNTIFS('[1]Comparitive Analysis'!$A$2:$A$315,B14,'[1]Comparitive Analysis'!$C$2:$C$315,"App or marketplace platform")/C14</f>
        <v>0.0909090909090909</v>
      </c>
      <c r="I14" s="5">
        <f t="shared" si="1"/>
        <v>0.727272727272727</v>
      </c>
      <c r="J14" s="7" t="str">
        <f t="shared" si="2"/>
        <v>Sufficient</v>
      </c>
    </row>
    <row r="15" ht="16.5" customHeight="1" spans="1:10">
      <c r="A15" s="2">
        <v>14</v>
      </c>
      <c r="B15" s="2" t="s">
        <v>26</v>
      </c>
      <c r="C15" s="2">
        <f>COUNTIF('[1]Comparitive Analysis'!$A$2:$A$315,B15)</f>
        <v>6</v>
      </c>
      <c r="D15" s="3" t="s">
        <v>11</v>
      </c>
      <c r="E15" s="8" t="s">
        <v>15</v>
      </c>
      <c r="F15" s="2">
        <f t="shared" si="0"/>
        <v>23</v>
      </c>
      <c r="G15" s="5">
        <f>(COUNTIFS('[1]Comparitive Analysis'!$A$2:$A$315,B15,'[1]Comparitive Analysis'!$C$2:$C$315,"Organized company")+COUNTIFS('[1]Comparitive Analysis'!$A$2:$A$315,B15,'[1]Comparitive Analysis'!$C$2:$C$315,"Brand-authorized service centre")+COUNTIFS('[1]Comparitive Analysis'!$A$2:$A$315,B15,'[1]Comparitive Analysis'!$C$2:$C$315,"Organized clinic")+COUNTIFS('[1]Comparitive Analysis'!$A$2:$A$315,B15,'[1]Comparitive Analysis'!$C$2:$C$315,"Organized construction company")+COUNTIFS('[1]Comparitive Analysis'!$A$2:$A$315,B15,'[1]Comparitive Analysis'!$C$2:$C$315,"Organized home-healthcare company"))/C15</f>
        <v>0.5</v>
      </c>
      <c r="H15" s="5">
        <f>COUNTIFS('[1]Comparitive Analysis'!$A$2:$A$315,B15,'[1]Comparitive Analysis'!$C$2:$C$315,"App or marketplace platform")/C15</f>
        <v>0.5</v>
      </c>
      <c r="I15" s="5">
        <f t="shared" si="1"/>
        <v>0</v>
      </c>
      <c r="J15" s="7" t="str">
        <f t="shared" si="2"/>
        <v>Sufficient</v>
      </c>
    </row>
    <row r="16" ht="16.5" customHeight="1" spans="1:10">
      <c r="A16" s="2">
        <v>15</v>
      </c>
      <c r="B16" s="2" t="s">
        <v>27</v>
      </c>
      <c r="C16" s="2">
        <f>COUNTIF('[1]Comparitive Analysis'!$A$2:$A$315,B16)</f>
        <v>7</v>
      </c>
      <c r="D16" s="8" t="s">
        <v>15</v>
      </c>
      <c r="E16" s="8" t="s">
        <v>15</v>
      </c>
      <c r="F16" s="2">
        <f t="shared" si="0"/>
        <v>21</v>
      </c>
      <c r="G16" s="5">
        <f>(COUNTIFS('[1]Comparitive Analysis'!$A$2:$A$315,B16,'[1]Comparitive Analysis'!$C$2:$C$315,"Organized company")+COUNTIFS('[1]Comparitive Analysis'!$A$2:$A$315,B16,'[1]Comparitive Analysis'!$C$2:$C$315,"Brand-authorized service centre")+COUNTIFS('[1]Comparitive Analysis'!$A$2:$A$315,B16,'[1]Comparitive Analysis'!$C$2:$C$315,"Organized clinic")+COUNTIFS('[1]Comparitive Analysis'!$A$2:$A$315,B16,'[1]Comparitive Analysis'!$C$2:$C$315,"Organized construction company")+COUNTIFS('[1]Comparitive Analysis'!$A$2:$A$315,B16,'[1]Comparitive Analysis'!$C$2:$C$315,"Organized home-healthcare company"))/C16</f>
        <v>0.571428571428571</v>
      </c>
      <c r="H16" s="5">
        <f>COUNTIFS('[1]Comparitive Analysis'!$A$2:$A$315,B16,'[1]Comparitive Analysis'!$C$2:$C$315,"App or marketplace platform")/C16</f>
        <v>0.428571428571429</v>
      </c>
      <c r="I16" s="5">
        <f t="shared" si="1"/>
        <v>0</v>
      </c>
      <c r="J16" s="7" t="str">
        <f t="shared" si="2"/>
        <v>Sufficient</v>
      </c>
    </row>
    <row r="17" ht="16.5" customHeight="1" spans="1:10">
      <c r="A17" s="2">
        <v>16</v>
      </c>
      <c r="B17" s="2" t="s">
        <v>28</v>
      </c>
      <c r="C17" s="2">
        <f>COUNTIF('[1]Comparitive Analysis'!$A$2:$A$315,B17)</f>
        <v>9</v>
      </c>
      <c r="D17" s="3" t="s">
        <v>11</v>
      </c>
      <c r="E17" s="8" t="s">
        <v>15</v>
      </c>
      <c r="F17" s="2">
        <f t="shared" si="0"/>
        <v>13</v>
      </c>
      <c r="G17" s="5">
        <f>(COUNTIFS('[1]Comparitive Analysis'!$A$2:$A$315,B17,'[1]Comparitive Analysis'!$C$2:$C$315,"Organized company")+COUNTIFS('[1]Comparitive Analysis'!$A$2:$A$315,B17,'[1]Comparitive Analysis'!$C$2:$C$315,"Brand-authorized service centre")+COUNTIFS('[1]Comparitive Analysis'!$A$2:$A$315,B17,'[1]Comparitive Analysis'!$C$2:$C$315,"Organized clinic")+COUNTIFS('[1]Comparitive Analysis'!$A$2:$A$315,B17,'[1]Comparitive Analysis'!$C$2:$C$315,"Organized construction company")+COUNTIFS('[1]Comparitive Analysis'!$A$2:$A$315,B17,'[1]Comparitive Analysis'!$C$2:$C$315,"Organized home-healthcare company"))/C17</f>
        <v>0.444444444444444</v>
      </c>
      <c r="H17" s="5">
        <f>COUNTIFS('[1]Comparitive Analysis'!$A$2:$A$315,B17,'[1]Comparitive Analysis'!$C$2:$C$315,"App or marketplace platform")/C17</f>
        <v>0.555555555555556</v>
      </c>
      <c r="I17" s="5">
        <f t="shared" si="1"/>
        <v>0</v>
      </c>
      <c r="J17" s="7" t="str">
        <f t="shared" si="2"/>
        <v>Sufficient</v>
      </c>
    </row>
    <row r="18" ht="16.5" customHeight="1" spans="1:10">
      <c r="A18" s="2">
        <v>17</v>
      </c>
      <c r="B18" s="2" t="s">
        <v>29</v>
      </c>
      <c r="C18" s="2">
        <f>COUNTIF('[1]Comparitive Analysis'!$A$2:$A$315,B18)</f>
        <v>11</v>
      </c>
      <c r="D18" s="3" t="s">
        <v>11</v>
      </c>
      <c r="E18" s="4" t="s">
        <v>11</v>
      </c>
      <c r="F18" s="2">
        <f t="shared" si="0"/>
        <v>6</v>
      </c>
      <c r="G18" s="5">
        <f>(COUNTIFS('[1]Comparitive Analysis'!$A$2:$A$315,B18,'[1]Comparitive Analysis'!$C$2:$C$315,"Organized company")+COUNTIFS('[1]Comparitive Analysis'!$A$2:$A$315,B18,'[1]Comparitive Analysis'!$C$2:$C$315,"Brand-authorized service centre")+COUNTIFS('[1]Comparitive Analysis'!$A$2:$A$315,B18,'[1]Comparitive Analysis'!$C$2:$C$315,"Organized clinic")+COUNTIFS('[1]Comparitive Analysis'!$A$2:$A$315,B18,'[1]Comparitive Analysis'!$C$2:$C$315,"Organized construction company")+COUNTIFS('[1]Comparitive Analysis'!$A$2:$A$315,B18,'[1]Comparitive Analysis'!$C$2:$C$315,"Organized home-healthcare company"))/C18</f>
        <v>0.727272727272727</v>
      </c>
      <c r="H18" s="5">
        <f>COUNTIFS('[1]Comparitive Analysis'!$A$2:$A$315,B18,'[1]Comparitive Analysis'!$C$2:$C$315,"App or marketplace platform")/C18</f>
        <v>0.181818181818182</v>
      </c>
      <c r="I18" s="5">
        <f t="shared" si="1"/>
        <v>0.0909090909090909</v>
      </c>
      <c r="J18" s="7" t="str">
        <f t="shared" si="2"/>
        <v>Sufficient</v>
      </c>
    </row>
    <row r="19" ht="16.5" customHeight="1" spans="1:10">
      <c r="A19" s="2">
        <v>18</v>
      </c>
      <c r="B19" s="2" t="s">
        <v>30</v>
      </c>
      <c r="C19" s="2">
        <f>COUNTIF('[1]Comparitive Analysis'!$A$2:$A$315,B19)</f>
        <v>9</v>
      </c>
      <c r="D19" s="3" t="s">
        <v>11</v>
      </c>
      <c r="E19" s="8" t="s">
        <v>15</v>
      </c>
      <c r="F19" s="2">
        <f t="shared" si="0"/>
        <v>13</v>
      </c>
      <c r="G19" s="5">
        <f>(COUNTIFS('[1]Comparitive Analysis'!$A$2:$A$315,B19,'[1]Comparitive Analysis'!$C$2:$C$315,"Organized company")+COUNTIFS('[1]Comparitive Analysis'!$A$2:$A$315,B19,'[1]Comparitive Analysis'!$C$2:$C$315,"Brand-authorized service centre")+COUNTIFS('[1]Comparitive Analysis'!$A$2:$A$315,B19,'[1]Comparitive Analysis'!$C$2:$C$315,"Organized clinic")+COUNTIFS('[1]Comparitive Analysis'!$A$2:$A$315,B19,'[1]Comparitive Analysis'!$C$2:$C$315,"Organized construction company")+COUNTIFS('[1]Comparitive Analysis'!$A$2:$A$315,B19,'[1]Comparitive Analysis'!$C$2:$C$315,"Organized home-healthcare company"))/C19</f>
        <v>0.666666666666667</v>
      </c>
      <c r="H19" s="5">
        <f>COUNTIFS('[1]Comparitive Analysis'!$A$2:$A$315,B19,'[1]Comparitive Analysis'!$C$2:$C$315,"App or marketplace platform")/C19</f>
        <v>0.333333333333333</v>
      </c>
      <c r="I19" s="5">
        <f t="shared" si="1"/>
        <v>0</v>
      </c>
      <c r="J19" s="7" t="str">
        <f t="shared" si="2"/>
        <v>Sufficient</v>
      </c>
    </row>
    <row r="20" ht="16.5" customHeight="1" spans="1:10">
      <c r="A20" s="2">
        <v>19</v>
      </c>
      <c r="B20" s="2" t="s">
        <v>31</v>
      </c>
      <c r="C20" s="2">
        <f>COUNTIF('[1]Comparitive Analysis'!$A$2:$A$315,B20)</f>
        <v>11</v>
      </c>
      <c r="D20" s="8" t="s">
        <v>15</v>
      </c>
      <c r="E20" s="4" t="s">
        <v>11</v>
      </c>
      <c r="F20" s="2">
        <f t="shared" si="0"/>
        <v>6</v>
      </c>
      <c r="G20" s="5">
        <f>(COUNTIFS('[1]Comparitive Analysis'!$A$2:$A$315,B20,'[1]Comparitive Analysis'!$C$2:$C$315,"Organized company")+COUNTIFS('[1]Comparitive Analysis'!$A$2:$A$315,B20,'[1]Comparitive Analysis'!$C$2:$C$315,"Brand-authorized service centre")+COUNTIFS('[1]Comparitive Analysis'!$A$2:$A$315,B20,'[1]Comparitive Analysis'!$C$2:$C$315,"Organized clinic")+COUNTIFS('[1]Comparitive Analysis'!$A$2:$A$315,B20,'[1]Comparitive Analysis'!$C$2:$C$315,"Organized construction company")+COUNTIFS('[1]Comparitive Analysis'!$A$2:$A$315,B20,'[1]Comparitive Analysis'!$C$2:$C$315,"Organized home-healthcare company"))/C20</f>
        <v>0.636363636363636</v>
      </c>
      <c r="H20" s="5">
        <f>COUNTIFS('[1]Comparitive Analysis'!$A$2:$A$315,B20,'[1]Comparitive Analysis'!$C$2:$C$315,"App or marketplace platform")/C20</f>
        <v>0.363636363636364</v>
      </c>
      <c r="I20" s="5">
        <f t="shared" si="1"/>
        <v>0</v>
      </c>
      <c r="J20" s="7" t="str">
        <f t="shared" si="2"/>
        <v>Sufficient</v>
      </c>
    </row>
    <row r="21" ht="16.5" customHeight="1" spans="1:10">
      <c r="A21" s="2">
        <v>20</v>
      </c>
      <c r="B21" s="2" t="s">
        <v>32</v>
      </c>
      <c r="C21" s="2">
        <f>COUNTIF('[1]Comparitive Analysis'!$A$2:$A$315,B21)</f>
        <v>2</v>
      </c>
      <c r="D21" s="4" t="s">
        <v>13</v>
      </c>
      <c r="E21" s="3" t="s">
        <v>13</v>
      </c>
      <c r="F21" s="2">
        <f t="shared" si="0"/>
        <v>38</v>
      </c>
      <c r="G21" s="5">
        <f>(COUNTIFS('[1]Comparitive Analysis'!$A$2:$A$315,B21,'[1]Comparitive Analysis'!$C$2:$C$315,"Organized company")+COUNTIFS('[1]Comparitive Analysis'!$A$2:$A$315,B21,'[1]Comparitive Analysis'!$C$2:$C$315,"Brand-authorized service centre")+COUNTIFS('[1]Comparitive Analysis'!$A$2:$A$315,B21,'[1]Comparitive Analysis'!$C$2:$C$315,"Organized clinic")+COUNTIFS('[1]Comparitive Analysis'!$A$2:$A$315,B21,'[1]Comparitive Analysis'!$C$2:$C$315,"Organized construction company")+COUNTIFS('[1]Comparitive Analysis'!$A$2:$A$315,B21,'[1]Comparitive Analysis'!$C$2:$C$315,"Organized home-healthcare company"))/C21</f>
        <v>1</v>
      </c>
      <c r="H21" s="5">
        <f>COUNTIFS('[1]Comparitive Analysis'!$A$2:$A$315,B21,'[1]Comparitive Analysis'!$C$2:$C$315,"App or marketplace platform")/C21</f>
        <v>0</v>
      </c>
      <c r="I21" s="5">
        <f t="shared" si="1"/>
        <v>0</v>
      </c>
      <c r="J21" s="9" t="str">
        <f t="shared" si="2"/>
        <v>Limited</v>
      </c>
    </row>
    <row r="22" ht="16.5" customHeight="1" spans="1:10">
      <c r="A22" s="2">
        <v>21</v>
      </c>
      <c r="B22" s="2" t="s">
        <v>33</v>
      </c>
      <c r="C22" s="2">
        <f>COUNTIF('[1]Comparitive Analysis'!$A$2:$A$315,B22)</f>
        <v>11</v>
      </c>
      <c r="D22" s="3" t="s">
        <v>11</v>
      </c>
      <c r="E22" s="4" t="s">
        <v>11</v>
      </c>
      <c r="F22" s="2">
        <f t="shared" si="0"/>
        <v>6</v>
      </c>
      <c r="G22" s="5">
        <f>(COUNTIFS('[1]Comparitive Analysis'!$A$2:$A$315,B22,'[1]Comparitive Analysis'!$C$2:$C$315,"Organized company")+COUNTIFS('[1]Comparitive Analysis'!$A$2:$A$315,B22,'[1]Comparitive Analysis'!$C$2:$C$315,"Brand-authorized service centre")+COUNTIFS('[1]Comparitive Analysis'!$A$2:$A$315,B22,'[1]Comparitive Analysis'!$C$2:$C$315,"Organized clinic")+COUNTIFS('[1]Comparitive Analysis'!$A$2:$A$315,B22,'[1]Comparitive Analysis'!$C$2:$C$315,"Organized construction company")+COUNTIFS('[1]Comparitive Analysis'!$A$2:$A$315,B22,'[1]Comparitive Analysis'!$C$2:$C$315,"Organized home-healthcare company"))/C22</f>
        <v>0.272727272727273</v>
      </c>
      <c r="H22" s="5">
        <f>COUNTIFS('[1]Comparitive Analysis'!$A$2:$A$315,B22,'[1]Comparitive Analysis'!$C$2:$C$315,"App or marketplace platform")/C22</f>
        <v>0.181818181818182</v>
      </c>
      <c r="I22" s="5">
        <f t="shared" si="1"/>
        <v>0.545454545454545</v>
      </c>
      <c r="J22" s="7" t="str">
        <f t="shared" si="2"/>
        <v>Sufficient</v>
      </c>
    </row>
    <row r="23" ht="16.5" customHeight="1" spans="1:10">
      <c r="A23" s="2">
        <v>22</v>
      </c>
      <c r="B23" s="2" t="s">
        <v>34</v>
      </c>
      <c r="C23" s="2">
        <f>COUNTIF('[1]Comparitive Analysis'!$A$2:$A$315,B23)</f>
        <v>9</v>
      </c>
      <c r="D23" s="3" t="s">
        <v>11</v>
      </c>
      <c r="E23" s="4" t="s">
        <v>11</v>
      </c>
      <c r="F23" s="2">
        <f t="shared" si="0"/>
        <v>13</v>
      </c>
      <c r="G23" s="5">
        <f>(COUNTIFS('[1]Comparitive Analysis'!$A$2:$A$315,B23,'[1]Comparitive Analysis'!$C$2:$C$315,"Organized company")+COUNTIFS('[1]Comparitive Analysis'!$A$2:$A$315,B23,'[1]Comparitive Analysis'!$C$2:$C$315,"Brand-authorized service centre")+COUNTIFS('[1]Comparitive Analysis'!$A$2:$A$315,B23,'[1]Comparitive Analysis'!$C$2:$C$315,"Organized clinic")+COUNTIFS('[1]Comparitive Analysis'!$A$2:$A$315,B23,'[1]Comparitive Analysis'!$C$2:$C$315,"Organized construction company")+COUNTIFS('[1]Comparitive Analysis'!$A$2:$A$315,B23,'[1]Comparitive Analysis'!$C$2:$C$315,"Organized home-healthcare company"))/C23</f>
        <v>0.333333333333333</v>
      </c>
      <c r="H23" s="5">
        <f>COUNTIFS('[1]Comparitive Analysis'!$A$2:$A$315,B23,'[1]Comparitive Analysis'!$C$2:$C$315,"App or marketplace platform")/C23</f>
        <v>0.444444444444444</v>
      </c>
      <c r="I23" s="5">
        <f t="shared" si="1"/>
        <v>0.222222222222222</v>
      </c>
      <c r="J23" s="7" t="str">
        <f t="shared" si="2"/>
        <v>Sufficient</v>
      </c>
    </row>
    <row r="24" ht="16.5" customHeight="1" spans="1:10">
      <c r="A24" s="2">
        <v>23</v>
      </c>
      <c r="B24" s="2" t="s">
        <v>35</v>
      </c>
      <c r="C24" s="2">
        <f>COUNTIF('[1]Comparitive Analysis'!$A$2:$A$315,B24)</f>
        <v>3</v>
      </c>
      <c r="D24" s="4" t="s">
        <v>13</v>
      </c>
      <c r="E24" s="3" t="s">
        <v>13</v>
      </c>
      <c r="F24" s="2">
        <f t="shared" si="0"/>
        <v>34</v>
      </c>
      <c r="G24" s="5">
        <f>(COUNTIFS('[1]Comparitive Analysis'!$A$2:$A$315,B24,'[1]Comparitive Analysis'!$C$2:$C$315,"Organized company")+COUNTIFS('[1]Comparitive Analysis'!$A$2:$A$315,B24,'[1]Comparitive Analysis'!$C$2:$C$315,"Brand-authorized service centre")+COUNTIFS('[1]Comparitive Analysis'!$A$2:$A$315,B24,'[1]Comparitive Analysis'!$C$2:$C$315,"Organized clinic")+COUNTIFS('[1]Comparitive Analysis'!$A$2:$A$315,B24,'[1]Comparitive Analysis'!$C$2:$C$315,"Organized construction company")+COUNTIFS('[1]Comparitive Analysis'!$A$2:$A$315,B24,'[1]Comparitive Analysis'!$C$2:$C$315,"Organized home-healthcare company"))/C24</f>
        <v>0.333333333333333</v>
      </c>
      <c r="H24" s="5">
        <f>COUNTIFS('[1]Comparitive Analysis'!$A$2:$A$315,B24,'[1]Comparitive Analysis'!$C$2:$C$315,"App or marketplace platform")/C24</f>
        <v>0.666666666666667</v>
      </c>
      <c r="I24" s="5">
        <f t="shared" si="1"/>
        <v>0</v>
      </c>
      <c r="J24" s="9" t="str">
        <f t="shared" si="2"/>
        <v>Limited</v>
      </c>
    </row>
    <row r="25" ht="16.5" customHeight="1" spans="1:10">
      <c r="A25" s="2">
        <v>24</v>
      </c>
      <c r="B25" s="2" t="s">
        <v>36</v>
      </c>
      <c r="C25" s="2">
        <f>COUNTIF('[1]Comparitive Analysis'!$A$2:$A$315,B25)</f>
        <v>2</v>
      </c>
      <c r="D25" s="4" t="s">
        <v>13</v>
      </c>
      <c r="E25" s="3" t="s">
        <v>13</v>
      </c>
      <c r="F25" s="2">
        <f t="shared" si="0"/>
        <v>38</v>
      </c>
      <c r="G25" s="5">
        <f>(COUNTIFS('[1]Comparitive Analysis'!$A$2:$A$315,B25,'[1]Comparitive Analysis'!$C$2:$C$315,"Organized company")+COUNTIFS('[1]Comparitive Analysis'!$A$2:$A$315,B25,'[1]Comparitive Analysis'!$C$2:$C$315,"Brand-authorized service centre")+COUNTIFS('[1]Comparitive Analysis'!$A$2:$A$315,B25,'[1]Comparitive Analysis'!$C$2:$C$315,"Organized clinic")+COUNTIFS('[1]Comparitive Analysis'!$A$2:$A$315,B25,'[1]Comparitive Analysis'!$C$2:$C$315,"Organized construction company")+COUNTIFS('[1]Comparitive Analysis'!$A$2:$A$315,B25,'[1]Comparitive Analysis'!$C$2:$C$315,"Organized home-healthcare company"))/C25</f>
        <v>1</v>
      </c>
      <c r="H25" s="5">
        <f>COUNTIFS('[1]Comparitive Analysis'!$A$2:$A$315,B25,'[1]Comparitive Analysis'!$C$2:$C$315,"App or marketplace platform")/C25</f>
        <v>0</v>
      </c>
      <c r="I25" s="5">
        <f t="shared" si="1"/>
        <v>0</v>
      </c>
      <c r="J25" s="9" t="str">
        <f t="shared" si="2"/>
        <v>Limited</v>
      </c>
    </row>
    <row r="26" ht="16.5" customHeight="1" spans="1:10">
      <c r="A26" s="2">
        <v>25</v>
      </c>
      <c r="B26" s="2" t="s">
        <v>37</v>
      </c>
      <c r="C26" s="2">
        <f>COUNTIF('[1]Comparitive Analysis'!$A$2:$A$315,B26)</f>
        <v>4</v>
      </c>
      <c r="D26" s="4" t="s">
        <v>13</v>
      </c>
      <c r="E26" s="3" t="s">
        <v>13</v>
      </c>
      <c r="F26" s="2">
        <f t="shared" si="0"/>
        <v>29</v>
      </c>
      <c r="G26" s="5">
        <f>(COUNTIFS('[1]Comparitive Analysis'!$A$2:$A$315,B26,'[1]Comparitive Analysis'!$C$2:$C$315,"Organized company")+COUNTIFS('[1]Comparitive Analysis'!$A$2:$A$315,B26,'[1]Comparitive Analysis'!$C$2:$C$315,"Brand-authorized service centre")+COUNTIFS('[1]Comparitive Analysis'!$A$2:$A$315,B26,'[1]Comparitive Analysis'!$C$2:$C$315,"Organized clinic")+COUNTIFS('[1]Comparitive Analysis'!$A$2:$A$315,B26,'[1]Comparitive Analysis'!$C$2:$C$315,"Organized construction company")+COUNTIFS('[1]Comparitive Analysis'!$A$2:$A$315,B26,'[1]Comparitive Analysis'!$C$2:$C$315,"Organized home-healthcare company"))/C26</f>
        <v>0.75</v>
      </c>
      <c r="H26" s="5">
        <f>COUNTIFS('[1]Comparitive Analysis'!$A$2:$A$315,B26,'[1]Comparitive Analysis'!$C$2:$C$315,"App or marketplace platform")/C26</f>
        <v>0</v>
      </c>
      <c r="I26" s="5">
        <f t="shared" si="1"/>
        <v>0.25</v>
      </c>
      <c r="J26" s="9" t="str">
        <f t="shared" si="2"/>
        <v>Limited</v>
      </c>
    </row>
    <row r="27" ht="16.5" customHeight="1" spans="1:10">
      <c r="A27" s="2">
        <v>26</v>
      </c>
      <c r="B27" s="2" t="s">
        <v>38</v>
      </c>
      <c r="C27" s="2">
        <f>COUNTIF('[1]Comparitive Analysis'!$A$2:$A$315,B27)</f>
        <v>4</v>
      </c>
      <c r="D27" s="4" t="s">
        <v>13</v>
      </c>
      <c r="E27" s="3" t="s">
        <v>13</v>
      </c>
      <c r="F27" s="2">
        <f t="shared" si="0"/>
        <v>29</v>
      </c>
      <c r="G27" s="5">
        <f>(COUNTIFS('[1]Comparitive Analysis'!$A$2:$A$315,B27,'[1]Comparitive Analysis'!$C$2:$C$315,"Organized company")+COUNTIFS('[1]Comparitive Analysis'!$A$2:$A$315,B27,'[1]Comparitive Analysis'!$C$2:$C$315,"Brand-authorized service centre")+COUNTIFS('[1]Comparitive Analysis'!$A$2:$A$315,B27,'[1]Comparitive Analysis'!$C$2:$C$315,"Organized clinic")+COUNTIFS('[1]Comparitive Analysis'!$A$2:$A$315,B27,'[1]Comparitive Analysis'!$C$2:$C$315,"Organized construction company")+COUNTIFS('[1]Comparitive Analysis'!$A$2:$A$315,B27,'[1]Comparitive Analysis'!$C$2:$C$315,"Organized home-healthcare company"))/C27</f>
        <v>0.5</v>
      </c>
      <c r="H27" s="5">
        <f>COUNTIFS('[1]Comparitive Analysis'!$A$2:$A$315,B27,'[1]Comparitive Analysis'!$C$2:$C$315,"App or marketplace platform")/C27</f>
        <v>0</v>
      </c>
      <c r="I27" s="5">
        <f t="shared" si="1"/>
        <v>0.5</v>
      </c>
      <c r="J27" s="9" t="str">
        <f t="shared" si="2"/>
        <v>Limited</v>
      </c>
    </row>
    <row r="28" ht="16.5" customHeight="1" spans="1:10">
      <c r="A28" s="2">
        <v>27</v>
      </c>
      <c r="B28" s="2" t="s">
        <v>39</v>
      </c>
      <c r="C28" s="2">
        <f>COUNTIF('[1]Comparitive Analysis'!$A$2:$A$315,B28)</f>
        <v>5</v>
      </c>
      <c r="D28" s="8" t="s">
        <v>15</v>
      </c>
      <c r="E28" s="8" t="s">
        <v>15</v>
      </c>
      <c r="F28" s="2">
        <f t="shared" si="0"/>
        <v>25</v>
      </c>
      <c r="G28" s="5">
        <f>(COUNTIFS('[1]Comparitive Analysis'!$A$2:$A$315,B28,'[1]Comparitive Analysis'!$C$2:$C$315,"Organized company")+COUNTIFS('[1]Comparitive Analysis'!$A$2:$A$315,B28,'[1]Comparitive Analysis'!$C$2:$C$315,"Brand-authorized service centre")+COUNTIFS('[1]Comparitive Analysis'!$A$2:$A$315,B28,'[1]Comparitive Analysis'!$C$2:$C$315,"Organized clinic")+COUNTIFS('[1]Comparitive Analysis'!$A$2:$A$315,B28,'[1]Comparitive Analysis'!$C$2:$C$315,"Organized construction company")+COUNTIFS('[1]Comparitive Analysis'!$A$2:$A$315,B28,'[1]Comparitive Analysis'!$C$2:$C$315,"Organized home-healthcare company"))/C28</f>
        <v>0.6</v>
      </c>
      <c r="H28" s="5">
        <f>COUNTIFS('[1]Comparitive Analysis'!$A$2:$A$315,B28,'[1]Comparitive Analysis'!$C$2:$C$315,"App or marketplace platform")/C28</f>
        <v>0.2</v>
      </c>
      <c r="I28" s="5">
        <f t="shared" si="1"/>
        <v>0.2</v>
      </c>
      <c r="J28" s="9" t="str">
        <f t="shared" si="2"/>
        <v>Limited</v>
      </c>
    </row>
    <row r="29" ht="16.5" customHeight="1" spans="1:10">
      <c r="A29" s="2">
        <v>28</v>
      </c>
      <c r="B29" s="2" t="s">
        <v>40</v>
      </c>
      <c r="C29" s="2">
        <f>COUNTIF('[1]Comparitive Analysis'!$A$2:$A$315,B29)</f>
        <v>5</v>
      </c>
      <c r="D29" s="8" t="s">
        <v>15</v>
      </c>
      <c r="E29" s="8" t="s">
        <v>15</v>
      </c>
      <c r="F29" s="2">
        <f t="shared" si="0"/>
        <v>25</v>
      </c>
      <c r="G29" s="5">
        <f>(COUNTIFS('[1]Comparitive Analysis'!$A$2:$A$315,B29,'[1]Comparitive Analysis'!$C$2:$C$315,"Organized company")+COUNTIFS('[1]Comparitive Analysis'!$A$2:$A$315,B29,'[1]Comparitive Analysis'!$C$2:$C$315,"Brand-authorized service centre")+COUNTIFS('[1]Comparitive Analysis'!$A$2:$A$315,B29,'[1]Comparitive Analysis'!$C$2:$C$315,"Organized clinic")+COUNTIFS('[1]Comparitive Analysis'!$A$2:$A$315,B29,'[1]Comparitive Analysis'!$C$2:$C$315,"Organized construction company")+COUNTIFS('[1]Comparitive Analysis'!$A$2:$A$315,B29,'[1]Comparitive Analysis'!$C$2:$C$315,"Organized home-healthcare company"))/C29</f>
        <v>0.8</v>
      </c>
      <c r="H29" s="5">
        <f>COUNTIFS('[1]Comparitive Analysis'!$A$2:$A$315,B29,'[1]Comparitive Analysis'!$C$2:$C$315,"App or marketplace platform")/C29</f>
        <v>0.2</v>
      </c>
      <c r="I29" s="5">
        <f t="shared" si="1"/>
        <v>0</v>
      </c>
      <c r="J29" s="9" t="str">
        <f t="shared" si="2"/>
        <v>Limited</v>
      </c>
    </row>
    <row r="30" ht="16.5" customHeight="1" spans="1:10">
      <c r="A30" s="2">
        <v>29</v>
      </c>
      <c r="B30" s="2" t="s">
        <v>41</v>
      </c>
      <c r="C30" s="2">
        <f>COUNTIF('[1]Comparitive Analysis'!$A$2:$A$315,B30)</f>
        <v>8</v>
      </c>
      <c r="D30" s="3" t="s">
        <v>11</v>
      </c>
      <c r="E30" s="4" t="s">
        <v>11</v>
      </c>
      <c r="F30" s="2">
        <f t="shared" si="0"/>
        <v>19</v>
      </c>
      <c r="G30" s="5">
        <f>(COUNTIFS('[1]Comparitive Analysis'!$A$2:$A$315,B30,'[1]Comparitive Analysis'!$C$2:$C$315,"Organized company")+COUNTIFS('[1]Comparitive Analysis'!$A$2:$A$315,B30,'[1]Comparitive Analysis'!$C$2:$C$315,"Brand-authorized service centre")+COUNTIFS('[1]Comparitive Analysis'!$A$2:$A$315,B30,'[1]Comparitive Analysis'!$C$2:$C$315,"Organized clinic")+COUNTIFS('[1]Comparitive Analysis'!$A$2:$A$315,B30,'[1]Comparitive Analysis'!$C$2:$C$315,"Organized construction company")+COUNTIFS('[1]Comparitive Analysis'!$A$2:$A$315,B30,'[1]Comparitive Analysis'!$C$2:$C$315,"Organized home-healthcare company"))/C30</f>
        <v>0.375</v>
      </c>
      <c r="H30" s="5">
        <f>COUNTIFS('[1]Comparitive Analysis'!$A$2:$A$315,B30,'[1]Comparitive Analysis'!$C$2:$C$315,"App or marketplace platform")/C30</f>
        <v>0.375</v>
      </c>
      <c r="I30" s="5">
        <f t="shared" si="1"/>
        <v>0.25</v>
      </c>
      <c r="J30" s="7" t="str">
        <f t="shared" si="2"/>
        <v>Sufficient</v>
      </c>
    </row>
    <row r="31" ht="16.5" customHeight="1" spans="1:10">
      <c r="A31" s="2">
        <v>30</v>
      </c>
      <c r="B31" s="2" t="s">
        <v>42</v>
      </c>
      <c r="C31" s="2">
        <f>COUNTIF('[1]Comparitive Analysis'!$A$2:$A$315,B31)</f>
        <v>4</v>
      </c>
      <c r="D31" s="8" t="s">
        <v>15</v>
      </c>
      <c r="E31" s="3" t="s">
        <v>13</v>
      </c>
      <c r="F31" s="2">
        <f t="shared" si="0"/>
        <v>29</v>
      </c>
      <c r="G31" s="5">
        <f>(COUNTIFS('[1]Comparitive Analysis'!$A$2:$A$315,B31,'[1]Comparitive Analysis'!$C$2:$C$315,"Organized company")+COUNTIFS('[1]Comparitive Analysis'!$A$2:$A$315,B31,'[1]Comparitive Analysis'!$C$2:$C$315,"Brand-authorized service centre")+COUNTIFS('[1]Comparitive Analysis'!$A$2:$A$315,B31,'[1]Comparitive Analysis'!$C$2:$C$315,"Organized clinic")+COUNTIFS('[1]Comparitive Analysis'!$A$2:$A$315,B31,'[1]Comparitive Analysis'!$C$2:$C$315,"Organized construction company")+COUNTIFS('[1]Comparitive Analysis'!$A$2:$A$315,B31,'[1]Comparitive Analysis'!$C$2:$C$315,"Organized home-healthcare company"))/C31</f>
        <v>0.75</v>
      </c>
      <c r="H31" s="5">
        <f>COUNTIFS('[1]Comparitive Analysis'!$A$2:$A$315,B31,'[1]Comparitive Analysis'!$C$2:$C$315,"App or marketplace platform")/C31</f>
        <v>0</v>
      </c>
      <c r="I31" s="5">
        <f t="shared" si="1"/>
        <v>0.25</v>
      </c>
      <c r="J31" s="9" t="str">
        <f t="shared" si="2"/>
        <v>Limited</v>
      </c>
    </row>
    <row r="32" ht="16.5" customHeight="1" spans="1:10">
      <c r="A32" s="2">
        <v>31</v>
      </c>
      <c r="B32" s="2" t="s">
        <v>43</v>
      </c>
      <c r="C32" s="2">
        <f>COUNTIF('[1]Comparitive Analysis'!$A$2:$A$315,B32)</f>
        <v>10</v>
      </c>
      <c r="D32" s="8" t="s">
        <v>15</v>
      </c>
      <c r="E32" s="4" t="s">
        <v>11</v>
      </c>
      <c r="F32" s="2">
        <f t="shared" si="0"/>
        <v>12</v>
      </c>
      <c r="G32" s="5">
        <f>(COUNTIFS('[1]Comparitive Analysis'!$A$2:$A$315,B32,'[1]Comparitive Analysis'!$C$2:$C$315,"Organized company")+COUNTIFS('[1]Comparitive Analysis'!$A$2:$A$315,B32,'[1]Comparitive Analysis'!$C$2:$C$315,"Brand-authorized service centre")+COUNTIFS('[1]Comparitive Analysis'!$A$2:$A$315,B32,'[1]Comparitive Analysis'!$C$2:$C$315,"Organized clinic")+COUNTIFS('[1]Comparitive Analysis'!$A$2:$A$315,B32,'[1]Comparitive Analysis'!$C$2:$C$315,"Organized construction company")+COUNTIFS('[1]Comparitive Analysis'!$A$2:$A$315,B32,'[1]Comparitive Analysis'!$C$2:$C$315,"Organized home-healthcare company"))/C32</f>
        <v>0.8</v>
      </c>
      <c r="H32" s="5">
        <f>COUNTIFS('[1]Comparitive Analysis'!$A$2:$A$315,B32,'[1]Comparitive Analysis'!$C$2:$C$315,"App or marketplace platform")/C32</f>
        <v>0.2</v>
      </c>
      <c r="I32" s="5">
        <f t="shared" si="1"/>
        <v>0</v>
      </c>
      <c r="J32" s="7" t="str">
        <f t="shared" si="2"/>
        <v>Sufficient</v>
      </c>
    </row>
    <row r="33" ht="16.5" customHeight="1" spans="1:10">
      <c r="A33" s="2">
        <v>32</v>
      </c>
      <c r="B33" s="2" t="s">
        <v>44</v>
      </c>
      <c r="C33" s="2">
        <f>COUNTIF('[1]Comparitive Analysis'!$A$2:$A$315,B33)</f>
        <v>9</v>
      </c>
      <c r="D33" s="8" t="s">
        <v>15</v>
      </c>
      <c r="E33" s="4" t="s">
        <v>11</v>
      </c>
      <c r="F33" s="2">
        <f t="shared" si="0"/>
        <v>13</v>
      </c>
      <c r="G33" s="5">
        <f>(COUNTIFS('[1]Comparitive Analysis'!$A$2:$A$315,B33,'[1]Comparitive Analysis'!$C$2:$C$315,"Organized company")+COUNTIFS('[1]Comparitive Analysis'!$A$2:$A$315,B33,'[1]Comparitive Analysis'!$C$2:$C$315,"Brand-authorized service centre")+COUNTIFS('[1]Comparitive Analysis'!$A$2:$A$315,B33,'[1]Comparitive Analysis'!$C$2:$C$315,"Organized clinic")+COUNTIFS('[1]Comparitive Analysis'!$A$2:$A$315,B33,'[1]Comparitive Analysis'!$C$2:$C$315,"Organized construction company")+COUNTIFS('[1]Comparitive Analysis'!$A$2:$A$315,B33,'[1]Comparitive Analysis'!$C$2:$C$315,"Organized home-healthcare company"))/C33</f>
        <v>0.555555555555556</v>
      </c>
      <c r="H33" s="5">
        <f>COUNTIFS('[1]Comparitive Analysis'!$A$2:$A$315,B33,'[1]Comparitive Analysis'!$C$2:$C$315,"App or marketplace platform")/C33</f>
        <v>0.333333333333333</v>
      </c>
      <c r="I33" s="5">
        <f t="shared" si="1"/>
        <v>0.111111111111111</v>
      </c>
      <c r="J33" s="7" t="str">
        <f t="shared" si="2"/>
        <v>Sufficient</v>
      </c>
    </row>
    <row r="34" ht="16.5" customHeight="1" spans="1:10">
      <c r="A34" s="2">
        <v>33</v>
      </c>
      <c r="B34" s="2" t="s">
        <v>45</v>
      </c>
      <c r="C34" s="2">
        <f>COUNTIF('[1]Comparitive Analysis'!$A$2:$A$315,B34)</f>
        <v>7</v>
      </c>
      <c r="D34" s="8" t="s">
        <v>15</v>
      </c>
      <c r="E34" s="8" t="s">
        <v>15</v>
      </c>
      <c r="F34" s="2">
        <f t="shared" si="0"/>
        <v>21</v>
      </c>
      <c r="G34" s="5">
        <f>(COUNTIFS('[1]Comparitive Analysis'!$A$2:$A$315,B34,'[1]Comparitive Analysis'!$C$2:$C$315,"Organized company")+COUNTIFS('[1]Comparitive Analysis'!$A$2:$A$315,B34,'[1]Comparitive Analysis'!$C$2:$C$315,"Brand-authorized service centre")+COUNTIFS('[1]Comparitive Analysis'!$A$2:$A$315,B34,'[1]Comparitive Analysis'!$C$2:$C$315,"Organized clinic")+COUNTIFS('[1]Comparitive Analysis'!$A$2:$A$315,B34,'[1]Comparitive Analysis'!$C$2:$C$315,"Organized construction company")+COUNTIFS('[1]Comparitive Analysis'!$A$2:$A$315,B34,'[1]Comparitive Analysis'!$C$2:$C$315,"Organized home-healthcare company"))/C34</f>
        <v>0.428571428571429</v>
      </c>
      <c r="H34" s="5">
        <f>COUNTIFS('[1]Comparitive Analysis'!$A$2:$A$315,B34,'[1]Comparitive Analysis'!$C$2:$C$315,"App or marketplace platform")/C34</f>
        <v>0.571428571428571</v>
      </c>
      <c r="I34" s="5">
        <f t="shared" si="1"/>
        <v>0</v>
      </c>
      <c r="J34" s="7" t="str">
        <f t="shared" si="2"/>
        <v>Sufficient</v>
      </c>
    </row>
    <row r="35" ht="16.5" customHeight="1" spans="1:10">
      <c r="A35" s="2">
        <v>34</v>
      </c>
      <c r="B35" s="2" t="s">
        <v>46</v>
      </c>
      <c r="C35" s="2">
        <f>COUNTIF('[1]Comparitive Analysis'!$A$2:$A$315,B35)</f>
        <v>9</v>
      </c>
      <c r="D35" s="8" t="s">
        <v>15</v>
      </c>
      <c r="E35" s="4" t="s">
        <v>11</v>
      </c>
      <c r="F35" s="2">
        <f t="shared" si="0"/>
        <v>13</v>
      </c>
      <c r="G35" s="5">
        <f>(COUNTIFS('[1]Comparitive Analysis'!$A$2:$A$315,B35,'[1]Comparitive Analysis'!$C$2:$C$315,"Organized company")+COUNTIFS('[1]Comparitive Analysis'!$A$2:$A$315,B35,'[1]Comparitive Analysis'!$C$2:$C$315,"Brand-authorized service centre")+COUNTIFS('[1]Comparitive Analysis'!$A$2:$A$315,B35,'[1]Comparitive Analysis'!$C$2:$C$315,"Organized clinic")+COUNTIFS('[1]Comparitive Analysis'!$A$2:$A$315,B35,'[1]Comparitive Analysis'!$C$2:$C$315,"Organized construction company")+COUNTIFS('[1]Comparitive Analysis'!$A$2:$A$315,B35,'[1]Comparitive Analysis'!$C$2:$C$315,"Organized home-healthcare company"))/C35</f>
        <v>0.222222222222222</v>
      </c>
      <c r="H35" s="5">
        <f>COUNTIFS('[1]Comparitive Analysis'!$A$2:$A$315,B35,'[1]Comparitive Analysis'!$C$2:$C$315,"App or marketplace platform")/C35</f>
        <v>0.777777777777778</v>
      </c>
      <c r="I35" s="5">
        <f t="shared" si="1"/>
        <v>0</v>
      </c>
      <c r="J35" s="7" t="str">
        <f t="shared" si="2"/>
        <v>Sufficient</v>
      </c>
    </row>
    <row r="36" ht="16.5" customHeight="1" spans="1:10">
      <c r="A36" s="2">
        <v>35</v>
      </c>
      <c r="B36" s="2" t="s">
        <v>47</v>
      </c>
      <c r="C36" s="2">
        <f>COUNTIF('[1]Comparitive Analysis'!$A$2:$A$315,B36)</f>
        <v>5</v>
      </c>
      <c r="D36" s="8" t="s">
        <v>15</v>
      </c>
      <c r="E36" s="8" t="s">
        <v>15</v>
      </c>
      <c r="F36" s="2">
        <f t="shared" si="0"/>
        <v>25</v>
      </c>
      <c r="G36" s="5">
        <f>(COUNTIFS('[1]Comparitive Analysis'!$A$2:$A$315,B36,'[1]Comparitive Analysis'!$C$2:$C$315,"Organized company")+COUNTIFS('[1]Comparitive Analysis'!$A$2:$A$315,B36,'[1]Comparitive Analysis'!$C$2:$C$315,"Brand-authorized service centre")+COUNTIFS('[1]Comparitive Analysis'!$A$2:$A$315,B36,'[1]Comparitive Analysis'!$C$2:$C$315,"Organized clinic")+COUNTIFS('[1]Comparitive Analysis'!$A$2:$A$315,B36,'[1]Comparitive Analysis'!$C$2:$C$315,"Organized construction company")+COUNTIFS('[1]Comparitive Analysis'!$A$2:$A$315,B36,'[1]Comparitive Analysis'!$C$2:$C$315,"Organized home-healthcare company"))/C36</f>
        <v>0.4</v>
      </c>
      <c r="H36" s="5">
        <f>COUNTIFS('[1]Comparitive Analysis'!$A$2:$A$315,B36,'[1]Comparitive Analysis'!$C$2:$C$315,"App or marketplace platform")/C36</f>
        <v>0.6</v>
      </c>
      <c r="I36" s="5">
        <f t="shared" si="1"/>
        <v>0</v>
      </c>
      <c r="J36" s="9" t="str">
        <f t="shared" si="2"/>
        <v>Limited</v>
      </c>
    </row>
    <row r="37" ht="16.5" customHeight="1" spans="1:10">
      <c r="A37" s="2">
        <v>36</v>
      </c>
      <c r="B37" s="2" t="s">
        <v>48</v>
      </c>
      <c r="C37" s="2">
        <f>COUNTIF('[1]Comparitive Analysis'!$A$2:$A$315,B37)</f>
        <v>4</v>
      </c>
      <c r="D37" s="4" t="s">
        <v>13</v>
      </c>
      <c r="E37" s="3" t="s">
        <v>13</v>
      </c>
      <c r="F37" s="2">
        <f t="shared" si="0"/>
        <v>29</v>
      </c>
      <c r="G37" s="5">
        <f>(COUNTIFS('[1]Comparitive Analysis'!$A$2:$A$315,B37,'[1]Comparitive Analysis'!$C$2:$C$315,"Organized company")+COUNTIFS('[1]Comparitive Analysis'!$A$2:$A$315,B37,'[1]Comparitive Analysis'!$C$2:$C$315,"Brand-authorized service centre")+COUNTIFS('[1]Comparitive Analysis'!$A$2:$A$315,B37,'[1]Comparitive Analysis'!$C$2:$C$315,"Organized clinic")+COUNTIFS('[1]Comparitive Analysis'!$A$2:$A$315,B37,'[1]Comparitive Analysis'!$C$2:$C$315,"Organized construction company")+COUNTIFS('[1]Comparitive Analysis'!$A$2:$A$315,B37,'[1]Comparitive Analysis'!$C$2:$C$315,"Organized home-healthcare company"))/C37</f>
        <v>0.5</v>
      </c>
      <c r="H37" s="5">
        <f>COUNTIFS('[1]Comparitive Analysis'!$A$2:$A$315,B37,'[1]Comparitive Analysis'!$C$2:$C$315,"App or marketplace platform")/C37</f>
        <v>0.5</v>
      </c>
      <c r="I37" s="5">
        <f t="shared" si="1"/>
        <v>0</v>
      </c>
      <c r="J37" s="9" t="str">
        <f t="shared" si="2"/>
        <v>Limited</v>
      </c>
    </row>
    <row r="38" ht="16.5" customHeight="1" spans="1:10">
      <c r="A38" s="2">
        <v>37</v>
      </c>
      <c r="B38" s="2" t="s">
        <v>49</v>
      </c>
      <c r="C38" s="2">
        <f>COUNTIF('[1]Comparitive Analysis'!$A$2:$A$315,B38)</f>
        <v>3</v>
      </c>
      <c r="D38" s="4" t="s">
        <v>13</v>
      </c>
      <c r="E38" s="3" t="s">
        <v>13</v>
      </c>
      <c r="F38" s="2">
        <f t="shared" si="0"/>
        <v>34</v>
      </c>
      <c r="G38" s="5">
        <f>(COUNTIFS('[1]Comparitive Analysis'!$A$2:$A$315,B38,'[1]Comparitive Analysis'!$C$2:$C$315,"Organized company")+COUNTIFS('[1]Comparitive Analysis'!$A$2:$A$315,B38,'[1]Comparitive Analysis'!$C$2:$C$315,"Brand-authorized service centre")+COUNTIFS('[1]Comparitive Analysis'!$A$2:$A$315,B38,'[1]Comparitive Analysis'!$C$2:$C$315,"Organized clinic")+COUNTIFS('[1]Comparitive Analysis'!$A$2:$A$315,B38,'[1]Comparitive Analysis'!$C$2:$C$315,"Organized construction company")+COUNTIFS('[1]Comparitive Analysis'!$A$2:$A$315,B38,'[1]Comparitive Analysis'!$C$2:$C$315,"Organized home-healthcare company"))/C38</f>
        <v>0.666666666666667</v>
      </c>
      <c r="H38" s="5">
        <f>COUNTIFS('[1]Comparitive Analysis'!$A$2:$A$315,B38,'[1]Comparitive Analysis'!$C$2:$C$315,"App or marketplace platform")/C38</f>
        <v>0.333333333333333</v>
      </c>
      <c r="I38" s="5">
        <f t="shared" si="1"/>
        <v>0</v>
      </c>
      <c r="J38" s="9" t="str">
        <f t="shared" si="2"/>
        <v>Limited</v>
      </c>
    </row>
    <row r="39" ht="16.5" customHeight="1" spans="1:10">
      <c r="A39" s="2">
        <v>38</v>
      </c>
      <c r="B39" s="2" t="s">
        <v>50</v>
      </c>
      <c r="C39" s="2">
        <f>COUNTIF('[1]Comparitive Analysis'!$A$2:$A$315,B39)</f>
        <v>3</v>
      </c>
      <c r="D39" s="8" t="s">
        <v>15</v>
      </c>
      <c r="E39" s="3" t="s">
        <v>13</v>
      </c>
      <c r="F39" s="2">
        <f t="shared" si="0"/>
        <v>34</v>
      </c>
      <c r="G39" s="5">
        <f>(COUNTIFS('[1]Comparitive Analysis'!$A$2:$A$315,B39,'[1]Comparitive Analysis'!$C$2:$C$315,"Organized company")+COUNTIFS('[1]Comparitive Analysis'!$A$2:$A$315,B39,'[1]Comparitive Analysis'!$C$2:$C$315,"Brand-authorized service centre")+COUNTIFS('[1]Comparitive Analysis'!$A$2:$A$315,B39,'[1]Comparitive Analysis'!$C$2:$C$315,"Organized clinic")+COUNTIFS('[1]Comparitive Analysis'!$A$2:$A$315,B39,'[1]Comparitive Analysis'!$C$2:$C$315,"Organized construction company")+COUNTIFS('[1]Comparitive Analysis'!$A$2:$A$315,B39,'[1]Comparitive Analysis'!$C$2:$C$315,"Organized home-healthcare company"))/C39</f>
        <v>1</v>
      </c>
      <c r="H39" s="5">
        <f>COUNTIFS('[1]Comparitive Analysis'!$A$2:$A$315,B39,'[1]Comparitive Analysis'!$C$2:$C$315,"App or marketplace platform")/C39</f>
        <v>0</v>
      </c>
      <c r="I39" s="5">
        <f t="shared" si="1"/>
        <v>0</v>
      </c>
      <c r="J39" s="9" t="str">
        <f t="shared" si="2"/>
        <v>Limited</v>
      </c>
    </row>
    <row r="40" ht="16.5" customHeight="1" spans="1:10">
      <c r="A40" s="2">
        <v>39</v>
      </c>
      <c r="B40" s="2" t="s">
        <v>51</v>
      </c>
      <c r="C40" s="2">
        <f>COUNTIF('[1]Comparitive Analysis'!$A$2:$A$315,B40)</f>
        <v>5</v>
      </c>
      <c r="D40" s="4" t="s">
        <v>13</v>
      </c>
      <c r="E40" s="8" t="s">
        <v>15</v>
      </c>
      <c r="F40" s="2">
        <f t="shared" si="0"/>
        <v>25</v>
      </c>
      <c r="G40" s="5">
        <f>(COUNTIFS('[1]Comparitive Analysis'!$A$2:$A$315,B40,'[1]Comparitive Analysis'!$C$2:$C$315,"Organized company")+COUNTIFS('[1]Comparitive Analysis'!$A$2:$A$315,B40,'[1]Comparitive Analysis'!$C$2:$C$315,"Brand-authorized service centre")+COUNTIFS('[1]Comparitive Analysis'!$A$2:$A$315,B40,'[1]Comparitive Analysis'!$C$2:$C$315,"Organized clinic")+COUNTIFS('[1]Comparitive Analysis'!$A$2:$A$315,B40,'[1]Comparitive Analysis'!$C$2:$C$315,"Organized construction company")+COUNTIFS('[1]Comparitive Analysis'!$A$2:$A$315,B40,'[1]Comparitive Analysis'!$C$2:$C$315,"Organized home-healthcare company"))/C40</f>
        <v>0.6</v>
      </c>
      <c r="H40" s="5">
        <f>COUNTIFS('[1]Comparitive Analysis'!$A$2:$A$315,B40,'[1]Comparitive Analysis'!$C$2:$C$315,"App or marketplace platform")/C40</f>
        <v>0.4</v>
      </c>
      <c r="I40" s="5">
        <f t="shared" si="1"/>
        <v>0</v>
      </c>
      <c r="J40" s="9" t="str">
        <f t="shared" si="2"/>
        <v>Limited</v>
      </c>
    </row>
    <row r="41" ht="16.5" customHeight="1" spans="1:10">
      <c r="A41" s="2">
        <v>40</v>
      </c>
      <c r="B41" s="2" t="s">
        <v>52</v>
      </c>
      <c r="C41" s="2">
        <f>COUNTIF('[1]Comparitive Analysis'!$A$2:$A$315,B41)</f>
        <v>3</v>
      </c>
      <c r="D41" s="4" t="s">
        <v>13</v>
      </c>
      <c r="E41" s="3" t="s">
        <v>13</v>
      </c>
      <c r="F41" s="2">
        <f t="shared" si="0"/>
        <v>34</v>
      </c>
      <c r="G41" s="5">
        <f>(COUNTIFS('[1]Comparitive Analysis'!$A$2:$A$315,B41,'[1]Comparitive Analysis'!$C$2:$C$315,"Organized company")+COUNTIFS('[1]Comparitive Analysis'!$A$2:$A$315,B41,'[1]Comparitive Analysis'!$C$2:$C$315,"Brand-authorized service centre")+COUNTIFS('[1]Comparitive Analysis'!$A$2:$A$315,B41,'[1]Comparitive Analysis'!$C$2:$C$315,"Organized clinic")+COUNTIFS('[1]Comparitive Analysis'!$A$2:$A$315,B41,'[1]Comparitive Analysis'!$C$2:$C$315,"Organized construction company")+COUNTIFS('[1]Comparitive Analysis'!$A$2:$A$315,B41,'[1]Comparitive Analysis'!$C$2:$C$315,"Organized home-healthcare company"))/C41</f>
        <v>0.666666666666667</v>
      </c>
      <c r="H41" s="5">
        <f>COUNTIFS('[1]Comparitive Analysis'!$A$2:$A$315,B41,'[1]Comparitive Analysis'!$C$2:$C$315,"App or marketplace platform")/C41</f>
        <v>0</v>
      </c>
      <c r="I41" s="5">
        <f t="shared" si="1"/>
        <v>0.333333333333333</v>
      </c>
      <c r="J41" s="9" t="str">
        <f t="shared" si="2"/>
        <v>Limited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Workforce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</dc:creator>
  <cp:lastModifiedBy>SadikshyaKarki</cp:lastModifiedBy>
  <dcterms:created xsi:type="dcterms:W3CDTF">2026-06-25T19:00:00Z</dcterms:created>
  <dcterms:modified xsi:type="dcterms:W3CDTF">2026-06-28T18:56:41Z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B03F0F85ECEC7C25E8713A6A0F3FF212_41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1</vt:i4>
  </property>
</Properties>
</file>